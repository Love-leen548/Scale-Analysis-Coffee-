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Chart" sheetId="6" r:id="rId1"/>
    <sheet name="Table" sheetId="5" r:id="rId2"/>
    <sheet name="Data" sheetId="1" r:id="rId3"/>
  </sheets>
  <definedNames>
    <definedName name="_xlnm._FilterDatabase" localSheetId="2" hidden="1">Data!$A$1:$M$1</definedName>
  </definedNames>
  <calcPr calcId="124519"/>
  <pivotCaches>
    <pivotCache cacheId="1" r:id="rId4"/>
  </pivotCaches>
</workbook>
</file>

<file path=xl/calcChain.xml><?xml version="1.0" encoding="utf-8"?>
<calcChain xmlns="http://schemas.openxmlformats.org/spreadsheetml/2006/main">
  <c r="U2" i="1"/>
  <c r="R2"/>
  <c r="Q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K2"/>
  <c r="T2"/>
  <c r="S2"/>
  <c r="P2"/>
  <c r="O2"/>
  <c r="N2"/>
  <c r="L2"/>
  <c r="K51"/>
  <c r="J5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3"/>
  <c r="J4"/>
  <c r="J5"/>
  <c r="J6"/>
  <c r="J7"/>
  <c r="J8"/>
  <c r="J9"/>
  <c r="J2"/>
</calcChain>
</file>

<file path=xl/sharedStrings.xml><?xml version="1.0" encoding="utf-8"?>
<sst xmlns="http://schemas.openxmlformats.org/spreadsheetml/2006/main" count="334" uniqueCount="197">
  <si>
    <t>Customer ID</t>
  </si>
  <si>
    <t>Date</t>
  </si>
  <si>
    <t>Time</t>
  </si>
  <si>
    <t>Coffee scale(g)</t>
  </si>
  <si>
    <t>Coffee Price($)</t>
  </si>
  <si>
    <t>Scaleperson</t>
  </si>
  <si>
    <t>Commission Rate</t>
  </si>
  <si>
    <t>Commission($)</t>
  </si>
  <si>
    <t>Total coffee sold by Brew</t>
  </si>
  <si>
    <t>Brew Method/ Grind Sie</t>
  </si>
  <si>
    <t>Notes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</si>
  <si>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</si>
  <si>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</si>
  <si>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</si>
  <si>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</si>
  <si>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</si>
  <si>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</si>
  <si>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</si>
  <si>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</si>
  <si>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</si>
  <si>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</si>
  <si>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</si>
  <si>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</si>
  <si>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</si>
  <si>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</si>
  <si>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</si>
  <si>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</si>
  <si>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</si>
  <si>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</si>
  <si>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</si>
  <si>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</si>
  <si>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</si>
  <si>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</si>
  <si>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</si>
  <si>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</si>
  <si>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</si>
  <si>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</si>
  <si>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</si>
  <si>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</si>
  <si>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</si>
  <si>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</si>
  <si>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</si>
  <si>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</si>
  <si>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</si>
  <si>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</si>
  <si>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</si>
  <si>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</si>
  <si>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</si>
  <si>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</si>
  <si>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</si>
  <si>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</si>
  <si>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</si>
  <si>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</si>
  <si>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</si>
  <si>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</si>
  <si>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</si>
  <si>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</si>
  <si>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</si>
  <si>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</si>
  <si>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</si>
  <si>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</si>
  <si>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Alice</t>
  </si>
  <si>
    <t>Bob</t>
  </si>
  <si>
    <t>Charlie</t>
  </si>
  <si>
    <t>Ethan</t>
  </si>
  <si>
    <t>Fiona</t>
  </si>
  <si>
    <t>Hannah</t>
  </si>
  <si>
    <t>Ian</t>
  </si>
  <si>
    <t>Julia</t>
  </si>
  <si>
    <t>James</t>
  </si>
  <si>
    <t>Mary</t>
  </si>
  <si>
    <t>Robert</t>
  </si>
  <si>
    <t>Michael</t>
  </si>
  <si>
    <t>David</t>
  </si>
  <si>
    <t>Richard</t>
  </si>
  <si>
    <t>Susan</t>
  </si>
  <si>
    <t>Vanca</t>
  </si>
  <si>
    <t>Emma</t>
  </si>
  <si>
    <t>Noah</t>
  </si>
  <si>
    <t>Olivia</t>
  </si>
  <si>
    <t>Kai</t>
  </si>
  <si>
    <t>Ava</t>
  </si>
  <si>
    <t>Jack</t>
  </si>
  <si>
    <t>Jace</t>
  </si>
  <si>
    <t>Mia</t>
  </si>
  <si>
    <t>Luna</t>
  </si>
  <si>
    <t>Zana</t>
  </si>
  <si>
    <t>Zane</t>
  </si>
  <si>
    <t>Elena</t>
  </si>
  <si>
    <t>Elsa</t>
  </si>
  <si>
    <t>Mei</t>
  </si>
  <si>
    <t>Arjun</t>
  </si>
  <si>
    <t>Patel</t>
  </si>
  <si>
    <t>Sofia</t>
  </si>
  <si>
    <t>Willow</t>
  </si>
  <si>
    <t>Jasper</t>
  </si>
  <si>
    <t>Stone</t>
  </si>
  <si>
    <t>Rowan</t>
  </si>
  <si>
    <t>Iirs</t>
  </si>
  <si>
    <t>Daisy</t>
  </si>
  <si>
    <t>River</t>
  </si>
  <si>
    <t>Skye</t>
  </si>
  <si>
    <t>Hazel wood</t>
  </si>
  <si>
    <t>Juniper</t>
  </si>
  <si>
    <t>Wilder</t>
  </si>
  <si>
    <t>Elara</t>
  </si>
  <si>
    <t>Xznthae</t>
  </si>
  <si>
    <t>Tom</t>
  </si>
  <si>
    <t>Jaray</t>
  </si>
  <si>
    <t>Rick</t>
  </si>
  <si>
    <t>Drip coffee/Coarse</t>
  </si>
  <si>
    <t>Pour Over/Medium</t>
  </si>
  <si>
    <t>Pour Over/Coarse</t>
  </si>
  <si>
    <t>French Press/Large</t>
  </si>
  <si>
    <t>Cold Brew/Fine</t>
  </si>
  <si>
    <t>Cold Brew/Extra Coarse</t>
  </si>
  <si>
    <t>French Press/Medium-Fine</t>
  </si>
  <si>
    <t>Espresso/Large</t>
  </si>
  <si>
    <t>Espresso/Fine</t>
  </si>
  <si>
    <t>Espresso/Medium Fine</t>
  </si>
  <si>
    <t>Espresso/Coarse</t>
  </si>
  <si>
    <t>Turkish coffee/Extra Coarse</t>
  </si>
  <si>
    <t>Turkish coffee/Fine</t>
  </si>
  <si>
    <t>Chemex/Large</t>
  </si>
  <si>
    <t>Chemex/Medium</t>
  </si>
  <si>
    <t>Chemex/Fine</t>
  </si>
  <si>
    <t>Latte/Coarse</t>
  </si>
  <si>
    <t>Latte/Fine</t>
  </si>
  <si>
    <t>Latte/Large</t>
  </si>
  <si>
    <t>Flate white/Medium</t>
  </si>
  <si>
    <t>Macchiato/Medium Large</t>
  </si>
  <si>
    <t>Macchiato/Medium Fine</t>
  </si>
  <si>
    <t>Cappuccino/Large</t>
  </si>
  <si>
    <t>Cappuccino/Fine</t>
  </si>
  <si>
    <t>Cappuccino/Medium Large</t>
  </si>
  <si>
    <t>Cappuccino/ Extra Coarse</t>
  </si>
  <si>
    <t>Latte/Extra Fine</t>
  </si>
  <si>
    <t>French Press/Extra Large</t>
  </si>
  <si>
    <t>Americano/Coarse</t>
  </si>
  <si>
    <t xml:space="preserve">Americano/Medium </t>
  </si>
  <si>
    <t>Cold Brew/Medium</t>
  </si>
  <si>
    <t>John Doe</t>
  </si>
  <si>
    <t>Jane Smith</t>
  </si>
  <si>
    <t>Sam Wilson</t>
  </si>
  <si>
    <t xml:space="preserve">Jane </t>
  </si>
  <si>
    <t>Will</t>
  </si>
  <si>
    <t>Jane</t>
  </si>
  <si>
    <t xml:space="preserve">Sam </t>
  </si>
  <si>
    <t>Sam</t>
  </si>
  <si>
    <t>Great regular</t>
  </si>
  <si>
    <t>Likes it Strong</t>
  </si>
  <si>
    <t>Shared pot</t>
  </si>
  <si>
    <t>quick sevice</t>
  </si>
  <si>
    <t>Bulk buy</t>
  </si>
  <si>
    <t>New custome</t>
  </si>
  <si>
    <t>Double shot</t>
  </si>
  <si>
    <t>Traditional style</t>
  </si>
  <si>
    <t>Permium roast</t>
  </si>
  <si>
    <t>Daily habit</t>
  </si>
  <si>
    <t>Large</t>
  </si>
  <si>
    <t>To-go</t>
  </si>
  <si>
    <t>Fast</t>
  </si>
  <si>
    <t>Intro</t>
  </si>
  <si>
    <t>Ice only</t>
  </si>
  <si>
    <t>Craft</t>
  </si>
  <si>
    <t>Intense</t>
  </si>
  <si>
    <t>VIP</t>
  </si>
  <si>
    <t>Decaf</t>
  </si>
  <si>
    <t>Small</t>
  </si>
  <si>
    <t>Regular</t>
  </si>
  <si>
    <t>Strong</t>
  </si>
  <si>
    <t>Light</t>
  </si>
  <si>
    <t>Into</t>
  </si>
  <si>
    <t>Row Labels</t>
  </si>
  <si>
    <t>Grand Total</t>
  </si>
  <si>
    <t>(blank)</t>
  </si>
  <si>
    <t>Count of Coffee Price($)</t>
  </si>
  <si>
    <t>Count of Date</t>
  </si>
  <si>
    <t>Values</t>
  </si>
  <si>
    <t>Count of Time</t>
  </si>
  <si>
    <t>Count of Total Coffee Bought</t>
  </si>
  <si>
    <t>Max of Coffee Price($)</t>
  </si>
  <si>
    <t>Max of Total Coffee Bought</t>
  </si>
  <si>
    <t>Coffee scale Analysis</t>
  </si>
  <si>
    <t>Customer Name</t>
  </si>
  <si>
    <t>Highest Scale</t>
  </si>
  <si>
    <t>Lowest Scale</t>
  </si>
  <si>
    <t>Average Scale</t>
  </si>
  <si>
    <t>Customer Count</t>
  </si>
  <si>
    <t>Bonus</t>
  </si>
  <si>
    <t>Customer high scale</t>
  </si>
  <si>
    <t>Max of Coffee scale(g)</t>
  </si>
  <si>
    <t>Customer Low scale</t>
  </si>
  <si>
    <t>Count of Commission($)</t>
  </si>
  <si>
    <t>Column Labels</t>
  </si>
  <si>
    <t>Hghest coffee price</t>
  </si>
  <si>
    <t>Lowest coffee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</si>
</sst>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Project.xlsx]Table!PivotTable8</c:name>
    <c:fmtId val="7"/>
  </c:pivotSource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Max</a:t>
            </a:r>
            <a:r>
              <a:rPr lang="en-US" sz="2000" baseline="0"/>
              <a:t> Coffee bought by customer</a:t>
            </a:r>
          </a:p>
          <a:p>
            <a:pPr>
              <a:defRPr sz="2000"/>
            </a:pPr>
            <a:endParaRPr lang="en-US" sz="20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Table!$D$20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Table!$C$21:$C$39</c:f>
              <c:strCache>
                <c:ptCount val="18"/>
                <c:pt idx="0">
                  <c:v>C003</c:v>
                </c:pt>
                <c:pt idx="1">
                  <c:v>C004</c:v>
                </c:pt>
                <c:pt idx="2">
                  <c:v>C005</c:v>
                </c:pt>
                <c:pt idx="3">
                  <c:v>C006</c:v>
                </c:pt>
                <c:pt idx="4">
                  <c:v>C009</c:v>
                </c:pt>
                <c:pt idx="5">
                  <c:v>C010</c:v>
                </c:pt>
                <c:pt idx="6">
                  <c:v>C011</c:v>
                </c:pt>
                <c:pt idx="7">
                  <c:v>C012</c:v>
                </c:pt>
                <c:pt idx="8">
                  <c:v>C013</c:v>
                </c:pt>
                <c:pt idx="9">
                  <c:v>C014</c:v>
                </c:pt>
                <c:pt idx="10">
                  <c:v>C015</c:v>
                </c:pt>
                <c:pt idx="11">
                  <c:v>C038</c:v>
                </c:pt>
                <c:pt idx="12">
                  <c:v>C039</c:v>
                </c:pt>
                <c:pt idx="13">
                  <c:v>C040</c:v>
                </c:pt>
                <c:pt idx="14">
                  <c:v>C043</c:v>
                </c:pt>
                <c:pt idx="15">
                  <c:v>C044</c:v>
                </c:pt>
                <c:pt idx="16">
                  <c:v>C046</c:v>
                </c:pt>
                <c:pt idx="17">
                  <c:v>C049</c:v>
                </c:pt>
              </c:strCache>
            </c:strRef>
          </c:cat>
          <c:val>
            <c:numRef>
              <c:f>Table!$D$21:$D$39</c:f>
              <c:numCache>
                <c:formatCode>General</c:formatCode>
                <c:ptCount val="1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40</c:v>
                </c:pt>
                <c:pt idx="5">
                  <c:v>40</c:v>
                </c:pt>
                <c:pt idx="6">
                  <c:v>50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40</c:v>
                </c:pt>
                <c:pt idx="17">
                  <c:v>50</c:v>
                </c:pt>
              </c:numCache>
            </c:numRef>
          </c:val>
        </c:ser>
        <c:marker val="1"/>
        <c:axId val="151082496"/>
        <c:axId val="151084032"/>
      </c:lineChart>
      <c:catAx>
        <c:axId val="151082496"/>
        <c:scaling>
          <c:orientation val="minMax"/>
        </c:scaling>
        <c:axPos val="b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51084032"/>
        <c:crosses val="autoZero"/>
        <c:auto val="1"/>
        <c:lblAlgn val="ctr"/>
        <c:lblOffset val="100"/>
      </c:catAx>
      <c:valAx>
        <c:axId val="15108403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108249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</c:spPr>
    </c:plotArea>
    <c:legend>
      <c:legendPos val="r"/>
      <c:layout/>
      <c:txPr>
        <a:bodyPr/>
        <a:lstStyle/>
        <a:p>
          <a:pPr>
            <a:defRPr sz="1050" b="1"/>
          </a:pPr>
          <a:endParaRPr lang="en-US"/>
        </a:p>
      </c:txPr>
    </c:legend>
    <c:plotVisOnly val="1"/>
  </c:chart>
  <c:spPr>
    <a:solidFill>
      <a:schemeClr val="accent4">
        <a:lumMod val="20000"/>
        <a:lumOff val="80000"/>
      </a:schemeClr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Project.xlsx]Table!PivotTable3</c:name>
    <c:fmtId val="2"/>
  </c:pivotSource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Scaleperson</a:t>
            </a:r>
            <a:r>
              <a:rPr lang="en-US" sz="2000" baseline="0"/>
              <a:t> Performance</a:t>
            </a:r>
            <a:endParaRPr lang="en-US" sz="200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Table!$B$3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Table!$A$4:$A$14</c:f>
              <c:strCache>
                <c:ptCount val="10"/>
                <c:pt idx="0">
                  <c:v>Jane</c:v>
                </c:pt>
                <c:pt idx="1">
                  <c:v>Jane </c:v>
                </c:pt>
                <c:pt idx="2">
                  <c:v>Jane Smith</c:v>
                </c:pt>
                <c:pt idx="3">
                  <c:v>John Doe</c:v>
                </c:pt>
                <c:pt idx="4">
                  <c:v>Sam</c:v>
                </c:pt>
                <c:pt idx="5">
                  <c:v>Sam </c:v>
                </c:pt>
                <c:pt idx="6">
                  <c:v>Sam Wilson</c:v>
                </c:pt>
                <c:pt idx="7">
                  <c:v>Tom</c:v>
                </c:pt>
                <c:pt idx="8">
                  <c:v>Will</c:v>
                </c:pt>
                <c:pt idx="9">
                  <c:v>(blank)</c:v>
                </c:pt>
              </c:strCache>
            </c:strRef>
          </c:cat>
          <c:val>
            <c:numRef>
              <c:f>Table!$B$4:$B$14</c:f>
              <c:numCache>
                <c:formatCode>#,##0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16</c:v>
                </c:pt>
                <c:pt idx="3">
                  <c:v>11</c:v>
                </c:pt>
                <c:pt idx="4">
                  <c:v>1</c:v>
                </c:pt>
                <c:pt idx="5">
                  <c:v>1</c:v>
                </c:pt>
                <c:pt idx="6">
                  <c:v>8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marker val="1"/>
        <c:axId val="151112704"/>
        <c:axId val="149619456"/>
      </c:lineChart>
      <c:catAx>
        <c:axId val="151112704"/>
        <c:scaling>
          <c:orientation val="minMax"/>
        </c:scaling>
        <c:axPos val="b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149619456"/>
        <c:crosses val="autoZero"/>
        <c:auto val="1"/>
        <c:lblAlgn val="ctr"/>
        <c:lblOffset val="100"/>
      </c:catAx>
      <c:valAx>
        <c:axId val="149619456"/>
        <c:scaling>
          <c:orientation val="minMax"/>
        </c:scaling>
        <c:axPos val="l"/>
        <c:majorGridlines/>
        <c:numFmt formatCode="#,##0" sourceLinked="1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51112704"/>
        <c:crosses val="autoZero"/>
        <c:crossBetween val="between"/>
      </c:valAx>
      <c:spPr>
        <a:solidFill>
          <a:schemeClr val="accent3">
            <a:lumMod val="40000"/>
            <a:lumOff val="60000"/>
          </a:schemeClr>
        </a:solidFill>
      </c:spPr>
    </c:plotArea>
    <c:legend>
      <c:legendPos val="r"/>
      <c:layout/>
      <c:txPr>
        <a:bodyPr/>
        <a:lstStyle/>
        <a:p>
          <a:pPr>
            <a:defRPr sz="1400" b="1"/>
          </a:pPr>
          <a:endParaRPr lang="en-US"/>
        </a:p>
      </c:txPr>
    </c:legend>
    <c:plotVisOnly val="1"/>
  </c:chart>
  <c:spPr>
    <a:solidFill>
      <a:schemeClr val="accent3">
        <a:lumMod val="40000"/>
        <a:lumOff val="60000"/>
      </a:schemeClr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Project.xlsx]Table!PivotTable4</c:name>
    <c:fmtId val="3"/>
  </c:pivotSource>
  <c:chart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779921259842537"/>
          <c:y val="2.8252405949256338E-2"/>
          <c:w val="0.53888888888888919"/>
          <c:h val="0.84722222222222221"/>
        </c:manualLayout>
      </c:layout>
      <c:barChart>
        <c:barDir val="col"/>
        <c:grouping val="stacked"/>
        <c:ser>
          <c:idx val="0"/>
          <c:order val="0"/>
          <c:tx>
            <c:strRef>
              <c:f>Table!$J$3:$J$4</c:f>
              <c:strCache>
                <c:ptCount val="1"/>
                <c:pt idx="0">
                  <c:v>Count of Date</c:v>
                </c:pt>
              </c:strCache>
            </c:strRef>
          </c:tx>
          <c:cat>
            <c:strRef>
              <c:f>Table!$I$5:$I$18</c:f>
              <c:strCach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(blank)</c:v>
                </c:pt>
              </c:strCache>
            </c:strRef>
          </c:cat>
          <c:val>
            <c:numRef>
              <c:f>Table!$J$5:$J$18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Table!$K$3:$K$4</c:f>
              <c:strCache>
                <c:ptCount val="1"/>
                <c:pt idx="0">
                  <c:v>Count of Time</c:v>
                </c:pt>
              </c:strCache>
            </c:strRef>
          </c:tx>
          <c:cat>
            <c:strRef>
              <c:f>Table!$I$5:$I$18</c:f>
              <c:strCach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(blank)</c:v>
                </c:pt>
              </c:strCache>
            </c:strRef>
          </c:cat>
          <c:val>
            <c:numRef>
              <c:f>Table!$K$5:$K$18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</c:ser>
        <c:overlap val="100"/>
        <c:axId val="149656704"/>
        <c:axId val="149658240"/>
      </c:barChart>
      <c:catAx>
        <c:axId val="149656704"/>
        <c:scaling>
          <c:orientation val="minMax"/>
        </c:scaling>
        <c:axPos val="b"/>
        <c:tickLblPos val="nextTo"/>
        <c:crossAx val="149658240"/>
        <c:crosses val="autoZero"/>
        <c:auto val="1"/>
        <c:lblAlgn val="ctr"/>
        <c:lblOffset val="100"/>
      </c:catAx>
      <c:valAx>
        <c:axId val="14965824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4965670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100" b="1"/>
          </a:pPr>
          <a:endParaRPr lang="en-US"/>
        </a:p>
      </c:txPr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Project.xlsx]Table!PivotTable6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Coffee Sold</a:t>
            </a:r>
            <a:r>
              <a:rPr lang="en-US" baseline="0"/>
              <a:t> by Brew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1069628210470562E-2"/>
          <c:y val="0.1830025527630964"/>
          <c:w val="0.8705075229843805"/>
          <c:h val="0.65955056987739547"/>
        </c:manualLayout>
      </c:layout>
      <c:barChart>
        <c:barDir val="col"/>
        <c:grouping val="stacked"/>
        <c:ser>
          <c:idx val="0"/>
          <c:order val="0"/>
          <c:tx>
            <c:strRef>
              <c:f>Table!$N$3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Table!$M$4:$M$17</c:f>
              <c:strCache>
                <c:ptCount val="13"/>
                <c:pt idx="0">
                  <c:v>100</c:v>
                </c:pt>
                <c:pt idx="1">
                  <c:v>120</c:v>
                </c:pt>
                <c:pt idx="2">
                  <c:v>150</c:v>
                </c:pt>
                <c:pt idx="3">
                  <c:v>200</c:v>
                </c:pt>
                <c:pt idx="4">
                  <c:v>220</c:v>
                </c:pt>
                <c:pt idx="5">
                  <c:v>300</c:v>
                </c:pt>
                <c:pt idx="6">
                  <c:v>340</c:v>
                </c:pt>
                <c:pt idx="7">
                  <c:v>350</c:v>
                </c:pt>
                <c:pt idx="8">
                  <c:v>420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(blank)</c:v>
                </c:pt>
              </c:strCache>
            </c:strRef>
          </c:cat>
          <c:val>
            <c:numRef>
              <c:f>Table!$N$4:$N$17</c:f>
              <c:numCache>
                <c:formatCode>General</c:formatCode>
                <c:ptCount val="13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</c:ser>
        <c:overlap val="100"/>
        <c:axId val="151136512"/>
        <c:axId val="151154688"/>
      </c:barChart>
      <c:catAx>
        <c:axId val="151136512"/>
        <c:scaling>
          <c:orientation val="minMax"/>
        </c:scaling>
        <c:axPos val="b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1154688"/>
        <c:crosses val="autoZero"/>
        <c:auto val="1"/>
        <c:lblAlgn val="ctr"/>
        <c:lblOffset val="100"/>
      </c:catAx>
      <c:valAx>
        <c:axId val="15115468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15113651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100" b="1"/>
          </a:pPr>
          <a:endParaRPr lang="en-US"/>
        </a:p>
      </c:txPr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Project.xlsx]Table!PivotTable7</c:name>
    <c:fmtId val="6"/>
  </c:pivotSource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Max</a:t>
            </a:r>
            <a:r>
              <a:rPr lang="en-US" sz="2400" baseline="0"/>
              <a:t> of Coffee Price</a:t>
            </a:r>
          </a:p>
          <a:p>
            <a:pPr>
              <a:defRPr sz="2400"/>
            </a:pPr>
            <a:endParaRPr lang="en-US" sz="2400"/>
          </a:p>
        </c:rich>
      </c:tx>
      <c:layout>
        <c:manualLayout>
          <c:xMode val="edge"/>
          <c:yMode val="edge"/>
          <c:x val="0.29967587812601781"/>
          <c:y val="0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Table!$B$19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strRef>
              <c:f>Table!$A$20:$A$23</c:f>
              <c:strCache>
                <c:ptCount val="3"/>
                <c:pt idx="0">
                  <c:v>Cappuccino/ Extra Coarse</c:v>
                </c:pt>
                <c:pt idx="1">
                  <c:v>Cold Brew/Extra Coarse</c:v>
                </c:pt>
                <c:pt idx="2">
                  <c:v>Turkish coffee/Extra Coarse</c:v>
                </c:pt>
              </c:strCache>
            </c:strRef>
          </c:cat>
          <c:val>
            <c:numRef>
              <c:f>Table!$B$20:$B$23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>
            <a:defRPr sz="1200" b="1"/>
          </a:pPr>
          <a:endParaRPr lang="en-US"/>
        </a:p>
      </c:txPr>
    </c:legend>
    <c:plotVisOnly val="1"/>
  </c:chart>
  <c:spPr>
    <a:solidFill>
      <a:schemeClr val="bg1"/>
    </a:solid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Project.xlsx]Table!PivotTable1</c:name>
    <c:fmtId val="7"/>
  </c:pivotSource>
  <c:chart>
    <c:title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view3D>
      <c:rotX val="30"/>
      <c:perspective val="30"/>
    </c:view3D>
    <c:plotArea>
      <c:layout>
        <c:manualLayout>
          <c:layoutTarget val="inner"/>
          <c:xMode val="edge"/>
          <c:yMode val="edge"/>
          <c:x val="9.8650046009396558E-2"/>
          <c:y val="0.35643879543469287"/>
          <c:w val="0.80269990798120705"/>
          <c:h val="0.55075650057137282"/>
        </c:manualLayout>
      </c:layout>
      <c:pie3DChart>
        <c:varyColors val="1"/>
        <c:ser>
          <c:idx val="0"/>
          <c:order val="0"/>
          <c:tx>
            <c:strRef>
              <c:f>Table!$J$20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Table!$I$21:$I$23</c:f>
              <c:strCache>
                <c:ptCount val="2"/>
                <c:pt idx="0">
                  <c:v>C016</c:v>
                </c:pt>
                <c:pt idx="1">
                  <c:v>C038</c:v>
                </c:pt>
              </c:strCache>
            </c:strRef>
          </c:cat>
          <c:val>
            <c:numRef>
              <c:f>Table!$J$21:$J$23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[Data Intepretation Project.xlsx]Table!PivotTable2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Commission</a:t>
            </a:r>
            <a:r>
              <a:rPr lang="en-US" baseline="0"/>
              <a:t> high or low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Table!$J$27:$J$28</c:f>
              <c:strCache>
                <c:ptCount val="1"/>
                <c:pt idx="0">
                  <c:v>Jane</c:v>
                </c:pt>
              </c:strCache>
            </c:strRef>
          </c:tx>
          <c:explosion val="25"/>
          <c:cat>
            <c:strRef>
              <c:f>Table!$I$29:$I$31</c:f>
              <c:strCache>
                <c:ptCount val="2"/>
                <c:pt idx="0">
                  <c:v>0</c:v>
                </c:pt>
                <c:pt idx="1">
                  <c:v>0.1</c:v>
                </c:pt>
              </c:strCache>
            </c:strRef>
          </c:cat>
          <c:val>
            <c:numRef>
              <c:f>Table!$J$29:$J$31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Table!$K$27:$K$28</c:f>
              <c:strCache>
                <c:ptCount val="1"/>
                <c:pt idx="0">
                  <c:v>Jane </c:v>
                </c:pt>
              </c:strCache>
            </c:strRef>
          </c:tx>
          <c:explosion val="25"/>
          <c:cat>
            <c:strRef>
              <c:f>Table!$I$29:$I$31</c:f>
              <c:strCache>
                <c:ptCount val="2"/>
                <c:pt idx="0">
                  <c:v>0</c:v>
                </c:pt>
                <c:pt idx="1">
                  <c:v>0.1</c:v>
                </c:pt>
              </c:strCache>
            </c:strRef>
          </c:cat>
          <c:val>
            <c:numRef>
              <c:f>Table!$K$29:$K$31</c:f>
              <c:numCache>
                <c:formatCode>General</c:formatCode>
                <c:ptCount val="2"/>
                <c:pt idx="0">
                  <c:v>7</c:v>
                </c:pt>
              </c:numCache>
            </c:numRef>
          </c:val>
        </c:ser>
        <c:ser>
          <c:idx val="2"/>
          <c:order val="2"/>
          <c:tx>
            <c:strRef>
              <c:f>Table!$L$27:$L$28</c:f>
              <c:strCache>
                <c:ptCount val="1"/>
                <c:pt idx="0">
                  <c:v>Jane Smith</c:v>
                </c:pt>
              </c:strCache>
            </c:strRef>
          </c:tx>
          <c:explosion val="25"/>
          <c:cat>
            <c:strRef>
              <c:f>Table!$I$29:$I$31</c:f>
              <c:strCache>
                <c:ptCount val="2"/>
                <c:pt idx="0">
                  <c:v>0</c:v>
                </c:pt>
                <c:pt idx="1">
                  <c:v>0.1</c:v>
                </c:pt>
              </c:strCache>
            </c:strRef>
          </c:cat>
          <c:val>
            <c:numRef>
              <c:f>Table!$L$29:$L$31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Scaleperson</a:t>
            </a:r>
            <a:r>
              <a:rPr lang="en-US" baseline="0"/>
              <a:t> Performance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Table!$B$3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Table!$A$4:$A$14</c:f>
              <c:strCache>
                <c:ptCount val="10"/>
                <c:pt idx="0">
                  <c:v>Jane</c:v>
                </c:pt>
                <c:pt idx="1">
                  <c:v>Jane </c:v>
                </c:pt>
                <c:pt idx="2">
                  <c:v>Jane Smith</c:v>
                </c:pt>
                <c:pt idx="3">
                  <c:v>John Doe</c:v>
                </c:pt>
                <c:pt idx="4">
                  <c:v>Sam</c:v>
                </c:pt>
                <c:pt idx="5">
                  <c:v>Sam </c:v>
                </c:pt>
                <c:pt idx="6">
                  <c:v>Sam Wilson</c:v>
                </c:pt>
                <c:pt idx="7">
                  <c:v>Tom</c:v>
                </c:pt>
                <c:pt idx="8">
                  <c:v>Will</c:v>
                </c:pt>
                <c:pt idx="9">
                  <c:v>(blank)</c:v>
                </c:pt>
              </c:strCache>
            </c:strRef>
          </c:cat>
          <c:val>
            <c:numRef>
              <c:f>Table!$B$4:$B$14</c:f>
              <c:numCache>
                <c:formatCode>#,##0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16</c:v>
                </c:pt>
                <c:pt idx="3">
                  <c:v>11</c:v>
                </c:pt>
                <c:pt idx="4">
                  <c:v>1</c:v>
                </c:pt>
                <c:pt idx="5">
                  <c:v>1</c:v>
                </c:pt>
                <c:pt idx="6">
                  <c:v>8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marker val="1"/>
        <c:axId val="151373312"/>
        <c:axId val="151374848"/>
      </c:lineChart>
      <c:catAx>
        <c:axId val="151373312"/>
        <c:scaling>
          <c:orientation val="minMax"/>
        </c:scaling>
        <c:axPos val="b"/>
        <c:tickLblPos val="nextTo"/>
        <c:crossAx val="151374848"/>
        <c:crosses val="autoZero"/>
        <c:auto val="1"/>
        <c:lblAlgn val="ctr"/>
        <c:lblOffset val="100"/>
      </c:catAx>
      <c:valAx>
        <c:axId val="151374848"/>
        <c:scaling>
          <c:orientation val="minMax"/>
        </c:scaling>
        <c:axPos val="l"/>
        <c:majorGridlines/>
        <c:numFmt formatCode="#,##0" sourceLinked="1"/>
        <c:tickLblPos val="nextTo"/>
        <c:crossAx val="151373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Project.xlsx]Table!PivotTable4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779921259842526"/>
          <c:y val="2.8252405949256338E-2"/>
          <c:w val="0.53888888888888897"/>
          <c:h val="0.84722222222222221"/>
        </c:manualLayout>
      </c:layout>
      <c:barChart>
        <c:barDir val="col"/>
        <c:grouping val="stacked"/>
        <c:ser>
          <c:idx val="0"/>
          <c:order val="0"/>
          <c:tx>
            <c:strRef>
              <c:f>Table!$J$3:$J$4</c:f>
              <c:strCache>
                <c:ptCount val="1"/>
                <c:pt idx="0">
                  <c:v>Count of Date</c:v>
                </c:pt>
              </c:strCache>
            </c:strRef>
          </c:tx>
          <c:cat>
            <c:strRef>
              <c:f>Table!$I$5:$I$18</c:f>
              <c:strCach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(blank)</c:v>
                </c:pt>
              </c:strCache>
            </c:strRef>
          </c:cat>
          <c:val>
            <c:numRef>
              <c:f>Table!$J$5:$J$18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Table!$K$3:$K$4</c:f>
              <c:strCache>
                <c:ptCount val="1"/>
                <c:pt idx="0">
                  <c:v>Count of Time</c:v>
                </c:pt>
              </c:strCache>
            </c:strRef>
          </c:tx>
          <c:cat>
            <c:strRef>
              <c:f>Table!$I$5:$I$18</c:f>
              <c:strCache>
                <c:ptCount val="1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(blank)</c:v>
                </c:pt>
              </c:strCache>
            </c:strRef>
          </c:cat>
          <c:val>
            <c:numRef>
              <c:f>Table!$K$5:$K$18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</c:ser>
        <c:overlap val="100"/>
        <c:axId val="151399808"/>
        <c:axId val="151422080"/>
      </c:barChart>
      <c:catAx>
        <c:axId val="151399808"/>
        <c:scaling>
          <c:orientation val="minMax"/>
        </c:scaling>
        <c:axPos val="b"/>
        <c:tickLblPos val="nextTo"/>
        <c:crossAx val="151422080"/>
        <c:crosses val="autoZero"/>
        <c:auto val="1"/>
        <c:lblAlgn val="ctr"/>
        <c:lblOffset val="100"/>
      </c:catAx>
      <c:valAx>
        <c:axId val="151422080"/>
        <c:scaling>
          <c:orientation val="minMax"/>
        </c:scaling>
        <c:axPos val="l"/>
        <c:majorGridlines/>
        <c:numFmt formatCode="General" sourceLinked="1"/>
        <c:tickLblPos val="nextTo"/>
        <c:crossAx val="151399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Coffee Sold</a:t>
            </a:r>
            <a:r>
              <a:rPr lang="en-US" baseline="0"/>
              <a:t> by Brew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Table!$N$3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Table!$M$4:$M$17</c:f>
              <c:strCache>
                <c:ptCount val="13"/>
                <c:pt idx="0">
                  <c:v>100</c:v>
                </c:pt>
                <c:pt idx="1">
                  <c:v>120</c:v>
                </c:pt>
                <c:pt idx="2">
                  <c:v>150</c:v>
                </c:pt>
                <c:pt idx="3">
                  <c:v>200</c:v>
                </c:pt>
                <c:pt idx="4">
                  <c:v>220</c:v>
                </c:pt>
                <c:pt idx="5">
                  <c:v>300</c:v>
                </c:pt>
                <c:pt idx="6">
                  <c:v>340</c:v>
                </c:pt>
                <c:pt idx="7">
                  <c:v>350</c:v>
                </c:pt>
                <c:pt idx="8">
                  <c:v>420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(blank)</c:v>
                </c:pt>
              </c:strCache>
            </c:strRef>
          </c:cat>
          <c:val>
            <c:numRef>
              <c:f>Table!$N$4:$N$17</c:f>
              <c:numCache>
                <c:formatCode>General</c:formatCode>
                <c:ptCount val="13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</c:ser>
        <c:overlap val="100"/>
        <c:axId val="151462272"/>
        <c:axId val="151463808"/>
      </c:barChart>
      <c:catAx>
        <c:axId val="151462272"/>
        <c:scaling>
          <c:orientation val="minMax"/>
        </c:scaling>
        <c:axPos val="b"/>
        <c:tickLblPos val="nextTo"/>
        <c:crossAx val="151463808"/>
        <c:crosses val="autoZero"/>
        <c:auto val="1"/>
        <c:lblAlgn val="ctr"/>
        <c:lblOffset val="100"/>
      </c:catAx>
      <c:valAx>
        <c:axId val="151463808"/>
        <c:scaling>
          <c:orientation val="minMax"/>
        </c:scaling>
        <c:axPos val="l"/>
        <c:majorGridlines/>
        <c:numFmt formatCode="General" sourceLinked="1"/>
        <c:tickLblPos val="nextTo"/>
        <c:crossAx val="1514622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Project.xlsx]Table!PivotTable7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Max</a:t>
            </a:r>
            <a:r>
              <a:rPr lang="en-US" baseline="0"/>
              <a:t> of Coffee Price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Table!$B$19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strRef>
              <c:f>Table!$A$20:$A$23</c:f>
              <c:strCache>
                <c:ptCount val="3"/>
                <c:pt idx="0">
                  <c:v>Cappuccino/ Extra Coarse</c:v>
                </c:pt>
                <c:pt idx="1">
                  <c:v>Cold Brew/Extra Coarse</c:v>
                </c:pt>
                <c:pt idx="2">
                  <c:v>Turkish coffee/Extra Coarse</c:v>
                </c:pt>
              </c:strCache>
            </c:strRef>
          </c:cat>
          <c:val>
            <c:numRef>
              <c:f>Table!$B$20:$B$23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Project.xlsx]Table!PivotTable8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Max</a:t>
            </a:r>
            <a:r>
              <a:rPr lang="en-US" baseline="0"/>
              <a:t> Coffee bought by customer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Table!$D$20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Table!$C$21:$C$39</c:f>
              <c:strCache>
                <c:ptCount val="18"/>
                <c:pt idx="0">
                  <c:v>C003</c:v>
                </c:pt>
                <c:pt idx="1">
                  <c:v>C004</c:v>
                </c:pt>
                <c:pt idx="2">
                  <c:v>C005</c:v>
                </c:pt>
                <c:pt idx="3">
                  <c:v>C006</c:v>
                </c:pt>
                <c:pt idx="4">
                  <c:v>C009</c:v>
                </c:pt>
                <c:pt idx="5">
                  <c:v>C010</c:v>
                </c:pt>
                <c:pt idx="6">
                  <c:v>C011</c:v>
                </c:pt>
                <c:pt idx="7">
                  <c:v>C012</c:v>
                </c:pt>
                <c:pt idx="8">
                  <c:v>C013</c:v>
                </c:pt>
                <c:pt idx="9">
                  <c:v>C014</c:v>
                </c:pt>
                <c:pt idx="10">
                  <c:v>C015</c:v>
                </c:pt>
                <c:pt idx="11">
                  <c:v>C038</c:v>
                </c:pt>
                <c:pt idx="12">
                  <c:v>C039</c:v>
                </c:pt>
                <c:pt idx="13">
                  <c:v>C040</c:v>
                </c:pt>
                <c:pt idx="14">
                  <c:v>C043</c:v>
                </c:pt>
                <c:pt idx="15">
                  <c:v>C044</c:v>
                </c:pt>
                <c:pt idx="16">
                  <c:v>C046</c:v>
                </c:pt>
                <c:pt idx="17">
                  <c:v>C049</c:v>
                </c:pt>
              </c:strCache>
            </c:strRef>
          </c:cat>
          <c:val>
            <c:numRef>
              <c:f>Table!$D$21:$D$39</c:f>
              <c:numCache>
                <c:formatCode>General</c:formatCode>
                <c:ptCount val="1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40</c:v>
                </c:pt>
                <c:pt idx="5">
                  <c:v>40</c:v>
                </c:pt>
                <c:pt idx="6">
                  <c:v>50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40</c:v>
                </c:pt>
                <c:pt idx="17">
                  <c:v>50</c:v>
                </c:pt>
              </c:numCache>
            </c:numRef>
          </c:val>
        </c:ser>
        <c:marker val="1"/>
        <c:axId val="151489920"/>
        <c:axId val="151508096"/>
      </c:lineChart>
      <c:catAx>
        <c:axId val="151489920"/>
        <c:scaling>
          <c:orientation val="minMax"/>
        </c:scaling>
        <c:axPos val="b"/>
        <c:tickLblPos val="nextTo"/>
        <c:crossAx val="151508096"/>
        <c:crosses val="autoZero"/>
        <c:auto val="1"/>
        <c:lblAlgn val="ctr"/>
        <c:lblOffset val="100"/>
      </c:catAx>
      <c:valAx>
        <c:axId val="151508096"/>
        <c:scaling>
          <c:orientation val="minMax"/>
        </c:scaling>
        <c:axPos val="l"/>
        <c:majorGridlines/>
        <c:numFmt formatCode="General" sourceLinked="1"/>
        <c:tickLblPos val="nextTo"/>
        <c:crossAx val="1514899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Project.xlsx]Table!PivotTable1</c:name>
    <c:fmtId val="4"/>
  </c:pivotSource>
  <c:chart>
    <c:title>
      <c:layout/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</c:dLbl>
      </c:pivotFmt>
    </c:pivotFmts>
    <c:plotArea>
      <c:layout/>
      <c:lineChart>
        <c:grouping val="stacked"/>
        <c:ser>
          <c:idx val="0"/>
          <c:order val="0"/>
          <c:tx>
            <c:strRef>
              <c:f>Table!$J$20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CatName val="1"/>
          </c:dLbls>
          <c:cat>
            <c:strRef>
              <c:f>Table!$I$21:$I$23</c:f>
              <c:strCache>
                <c:ptCount val="2"/>
                <c:pt idx="0">
                  <c:v>C016</c:v>
                </c:pt>
                <c:pt idx="1">
                  <c:v>C038</c:v>
                </c:pt>
              </c:strCache>
            </c:strRef>
          </c:cat>
          <c:val>
            <c:numRef>
              <c:f>Table!$J$21:$J$23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</c:ser>
        <c:marker val="1"/>
        <c:axId val="152446848"/>
        <c:axId val="152448384"/>
      </c:lineChart>
      <c:catAx>
        <c:axId val="152446848"/>
        <c:scaling>
          <c:orientation val="minMax"/>
        </c:scaling>
        <c:axPos val="b"/>
        <c:tickLblPos val="nextTo"/>
        <c:crossAx val="152448384"/>
        <c:auto val="1"/>
        <c:lblAlgn val="ctr"/>
        <c:lblOffset val="100"/>
      </c:catAx>
      <c:valAx>
        <c:axId val="152448384"/>
        <c:scaling>
          <c:orientation val="minMax"/>
        </c:scaling>
        <c:axPos val="l"/>
        <c:majorGridlines/>
        <c:numFmt formatCode="General" sourceLinked="1"/>
        <c:tickLblPos val="nextTo"/>
        <c:crossAx val="152446848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Intepretation Project.xlsx]Table!PivotTable1</c:name>
    <c:fmtId val="5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view3D>
      <c:rotX val="30"/>
      <c:perspective val="30"/>
    </c:view3D>
    <c:plotArea>
      <c:layout>
        <c:manualLayout>
          <c:layoutTarget val="inner"/>
          <c:xMode val="edge"/>
          <c:yMode val="edge"/>
          <c:x val="9.8650046009396475E-2"/>
          <c:y val="0.3564387954346927"/>
          <c:w val="0.80269990798120705"/>
          <c:h val="0.55075650057137282"/>
        </c:manualLayout>
      </c:layout>
      <c:pie3DChart>
        <c:varyColors val="1"/>
        <c:ser>
          <c:idx val="0"/>
          <c:order val="0"/>
          <c:tx>
            <c:strRef>
              <c:f>Table!$J$20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Table!$I$21:$I$23</c:f>
              <c:strCache>
                <c:ptCount val="2"/>
                <c:pt idx="0">
                  <c:v>C016</c:v>
                </c:pt>
                <c:pt idx="1">
                  <c:v>C038</c:v>
                </c:pt>
              </c:strCache>
            </c:strRef>
          </c:cat>
          <c:val>
            <c:numRef>
              <c:f>Table!$J$21:$J$23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[Data Intepretation Project.xlsx]Table!PivotTable2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Commission</a:t>
            </a:r>
            <a:r>
              <a:rPr lang="en-US" baseline="0"/>
              <a:t> high or low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Table!$J$27:$J$28</c:f>
              <c:strCache>
                <c:ptCount val="1"/>
                <c:pt idx="0">
                  <c:v>Jane</c:v>
                </c:pt>
              </c:strCache>
            </c:strRef>
          </c:tx>
          <c:explosion val="25"/>
          <c:cat>
            <c:strRef>
              <c:f>Table!$I$29:$I$31</c:f>
              <c:strCache>
                <c:ptCount val="2"/>
                <c:pt idx="0">
                  <c:v>0</c:v>
                </c:pt>
                <c:pt idx="1">
                  <c:v>0.1</c:v>
                </c:pt>
              </c:strCache>
            </c:strRef>
          </c:cat>
          <c:val>
            <c:numRef>
              <c:f>Table!$J$29:$J$31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Table!$K$27:$K$28</c:f>
              <c:strCache>
                <c:ptCount val="1"/>
                <c:pt idx="0">
                  <c:v>Jane </c:v>
                </c:pt>
              </c:strCache>
            </c:strRef>
          </c:tx>
          <c:explosion val="25"/>
          <c:cat>
            <c:strRef>
              <c:f>Table!$I$29:$I$31</c:f>
              <c:strCache>
                <c:ptCount val="2"/>
                <c:pt idx="0">
                  <c:v>0</c:v>
                </c:pt>
                <c:pt idx="1">
                  <c:v>0.1</c:v>
                </c:pt>
              </c:strCache>
            </c:strRef>
          </c:cat>
          <c:val>
            <c:numRef>
              <c:f>Table!$K$29:$K$31</c:f>
              <c:numCache>
                <c:formatCode>General</c:formatCode>
                <c:ptCount val="2"/>
                <c:pt idx="0">
                  <c:v>7</c:v>
                </c:pt>
              </c:numCache>
            </c:numRef>
          </c:val>
        </c:ser>
        <c:ser>
          <c:idx val="2"/>
          <c:order val="2"/>
          <c:tx>
            <c:strRef>
              <c:f>Table!$L$27:$L$28</c:f>
              <c:strCache>
                <c:ptCount val="1"/>
                <c:pt idx="0">
                  <c:v>Jane Smith</c:v>
                </c:pt>
              </c:strCache>
            </c:strRef>
          </c:tx>
          <c:explosion val="25"/>
          <c:cat>
            <c:strRef>
              <c:f>Table!$I$29:$I$31</c:f>
              <c:strCache>
                <c:ptCount val="2"/>
                <c:pt idx="0">
                  <c:v>0</c:v>
                </c:pt>
                <c:pt idx="1">
                  <c:v>0.1</c:v>
                </c:pt>
              </c:strCache>
            </c:strRef>
          </c:cat>
          <c:val>
            <c:numRef>
              <c:f>Table!$L$29:$L$31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585109</xdr:colOff>
      <xdr:row>2</xdr:row>
      <xdr:rowOff>27215</xdr:rowOff>
    </xdr:from>
    <xdr:to>
      <xdr:col>22</xdr:col>
      <xdr:colOff>277588</xdr:colOff>
      <xdr:row>16</xdr:row>
      <xdr:rowOff>103415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2</xdr:row>
      <xdr:rowOff>149679</xdr:rowOff>
    </xdr:from>
    <xdr:to>
      <xdr:col>14</xdr:col>
      <xdr:colOff>353786</xdr:colOff>
      <xdr:row>17</xdr:row>
      <xdr:rowOff>35379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149678</xdr:colOff>
      <xdr:row>18</xdr:row>
      <xdr:rowOff>54428</xdr:rowOff>
    </xdr:from>
    <xdr:to>
      <xdr:col>10</xdr:col>
      <xdr:colOff>133226</xdr:colOff>
      <xdr:row>33</xdr:row>
      <xdr:rowOff>122464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204109</xdr:colOff>
      <xdr:row>34</xdr:row>
      <xdr:rowOff>122464</xdr:rowOff>
    </xdr:from>
    <xdr:to>
      <xdr:col>13</xdr:col>
      <xdr:colOff>81644</xdr:colOff>
      <xdr:row>49</xdr:row>
      <xdr:rowOff>46264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517071</xdr:colOff>
      <xdr:row>18</xdr:row>
      <xdr:rowOff>68035</xdr:rowOff>
    </xdr:from>
    <xdr:to>
      <xdr:col>18</xdr:col>
      <xdr:colOff>236515</xdr:colOff>
      <xdr:row>32</xdr:row>
      <xdr:rowOff>144235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20</xdr:col>
      <xdr:colOff>367392</xdr:colOff>
      <xdr:row>49</xdr:row>
      <xdr:rowOff>81643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19</xdr:row>
      <xdr:rowOff>0</xdr:rowOff>
    </xdr:from>
    <xdr:to>
      <xdr:col>26</xdr:col>
      <xdr:colOff>285750</xdr:colOff>
      <xdr:row>33</xdr:row>
      <xdr:rowOff>81643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0.69635</cdr:x>
      <cdr:y>0.03733</cdr:y>
    </cdr:from>
    <cdr:to>
      <cdr:x>0.77135</cdr:x>
      <cdr:y>0.92448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2138365" y="1147764"/>
          <a:ext cx="2433635" cy="342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800">
              <a:solidFill>
                <a:sysClr val="windowText" lastClr="000000"/>
              </a:solidFill>
            </a:rPr>
            <a:t>Coffee</a:t>
          </a:r>
          <a:r>
            <a:rPr lang="en-US" sz="1800">
              <a:solidFill>
                <a:srgbClr val="FF0000"/>
              </a:solidFill>
            </a:rPr>
            <a:t> </a:t>
          </a:r>
          <a:r>
            <a:rPr lang="en-US" sz="1800">
              <a:solidFill>
                <a:sysClr val="windowText" lastClr="000000"/>
              </a:solidFill>
            </a:rPr>
            <a:t>Scale(g)</a:t>
          </a:r>
          <a:r>
            <a:rPr lang="en-US" sz="1800">
              <a:solidFill>
                <a:srgbClr val="FF0000"/>
              </a:solidFill>
            </a:rPr>
            <a:t> </a:t>
          </a:r>
          <a:r>
            <a:rPr lang="en-US" sz="1800">
              <a:solidFill>
                <a:sysClr val="windowText" lastClr="000000"/>
              </a:solidFill>
            </a:rPr>
            <a:t>Trends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56</xdr:row>
      <xdr:rowOff>114300</xdr:rowOff>
    </xdr:from>
    <xdr:to>
      <xdr:col>9</xdr:col>
      <xdr:colOff>609600</xdr:colOff>
      <xdr:row>71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57</xdr:row>
      <xdr:rowOff>133350</xdr:rowOff>
    </xdr:from>
    <xdr:to>
      <xdr:col>17</xdr:col>
      <xdr:colOff>47625</xdr:colOff>
      <xdr:row>72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73</xdr:row>
      <xdr:rowOff>76200</xdr:rowOff>
    </xdr:from>
    <xdr:to>
      <xdr:col>9</xdr:col>
      <xdr:colOff>190500</xdr:colOff>
      <xdr:row>88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495300</xdr:colOff>
      <xdr:row>73</xdr:row>
      <xdr:rowOff>47625</xdr:rowOff>
    </xdr:from>
    <xdr:to>
      <xdr:col>13</xdr:col>
      <xdr:colOff>1790700</xdr:colOff>
      <xdr:row>87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431346</xdr:colOff>
      <xdr:row>40</xdr:row>
      <xdr:rowOff>127907</xdr:rowOff>
    </xdr:from>
    <xdr:to>
      <xdr:col>3</xdr:col>
      <xdr:colOff>993321</xdr:colOff>
      <xdr:row>55</xdr:row>
      <xdr:rowOff>13607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857250</xdr:colOff>
      <xdr:row>33</xdr:row>
      <xdr:rowOff>136072</xdr:rowOff>
    </xdr:from>
    <xdr:to>
      <xdr:col>4</xdr:col>
      <xdr:colOff>1428750</xdr:colOff>
      <xdr:row>48</xdr:row>
      <xdr:rowOff>27215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340179</xdr:colOff>
      <xdr:row>38</xdr:row>
      <xdr:rowOff>136072</xdr:rowOff>
    </xdr:from>
    <xdr:to>
      <xdr:col>14</xdr:col>
      <xdr:colOff>0</xdr:colOff>
      <xdr:row>53</xdr:row>
      <xdr:rowOff>27215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1211036</xdr:colOff>
      <xdr:row>32</xdr:row>
      <xdr:rowOff>81643</xdr:rowOff>
    </xdr:from>
    <xdr:to>
      <xdr:col>8</xdr:col>
      <xdr:colOff>1646464</xdr:colOff>
      <xdr:row>46</xdr:row>
      <xdr:rowOff>163286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0.69635</cdr:x>
      <cdr:y>0.03733</cdr:y>
    </cdr:from>
    <cdr:to>
      <cdr:x>0.77135</cdr:x>
      <cdr:y>0.92448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2138365" y="1147764"/>
          <a:ext cx="2433635" cy="342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800">
              <a:solidFill>
                <a:srgbClr val="FF0000"/>
              </a:solidFill>
            </a:rPr>
            <a:t>Coffee Scale(g) Trends 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02.779900578702" createdVersion="3" refreshedVersion="3" minRefreshableVersion="3" recordCount="50">
  <cacheSource type="worksheet">
    <worksheetSource ref="A1:M51" sheet="Data"/>
  </cacheSource>
  <cacheFields count="13">
    <cacheField name="Customer ID" numFmtId="0">
      <sharedItems count="5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</sharedItems>
    </cacheField>
    <cacheField name="Custome Name" numFmtId="0">
      <sharedItems containsBlank="1"/>
    </cacheField>
    <cacheField name="Date" numFmtId="0">
      <sharedItems containsNonDate="0" containsDate="1" containsString="0" containsBlank="1" minDate="2026-03-01T00:00:00" maxDate="2026-04-19T00:00:00"/>
    </cacheField>
    <cacheField name="Time" numFmtId="0">
      <sharedItems containsNonDate="0" containsDate="1" containsString="0" containsBlank="1" minDate="1899-12-30T02:45:00" maxDate="1899-12-30T20:00:00"/>
    </cacheField>
    <cacheField name="Brew Method/ Grind Sie" numFmtId="0">
      <sharedItems containsBlank="1" count="32">
        <s v="Pour Over/Medium"/>
        <s v="Cold Brew/Fine"/>
        <s v="Drip coffee/Coarse"/>
        <s v="Pour Over/Coarse"/>
        <s v="French Press/Large"/>
        <s v="Cold Brew/Extra Coarse"/>
        <s v="French Press/Medium-Fine"/>
        <s v="Espresso/Large"/>
        <s v="Espresso/Fine"/>
        <s v="Espresso/Medium Fine"/>
        <s v="Espresso/Coarse"/>
        <s v="Turkish coffee/Extra Coarse"/>
        <s v="Turkish coffee/Fine"/>
        <s v="Chemex/Large"/>
        <s v="Chemex/Medium"/>
        <s v="Chemex/Fine"/>
        <s v="Latte/Coarse"/>
        <s v="Latte/Fine"/>
        <s v="Latte/Large"/>
        <s v="Flate white/Medium"/>
        <s v="Macchiato/Medium Large"/>
        <s v="Macchiato/Medium Fine"/>
        <s v="Cappuccino/Large"/>
        <s v="Cappuccino/Fine"/>
        <s v="Cappuccino/Medium Large"/>
        <s v="Cappuccino/ Extra Coarse"/>
        <s v="Latte/Extra Fine"/>
        <s v="French Press/Extra Large"/>
        <s v="Americano/Coarse"/>
        <s v="Americano/Medium "/>
        <s v="Cold Brew/Medium"/>
        <m/>
      </sharedItems>
    </cacheField>
    <cacheField name="Coffee scale(g)" numFmtId="0">
      <sharedItems containsString="0" containsBlank="1" containsNumber="1" containsInteger="1" minValue="10" maxValue="50" count="13">
        <n v="18"/>
        <n v="20"/>
        <n v="40"/>
        <n v="30"/>
        <n v="10"/>
        <n v="16"/>
        <n v="12"/>
        <n v="25"/>
        <n v="23"/>
        <n v="14"/>
        <n v="50"/>
        <n v="35"/>
        <m/>
      </sharedItems>
    </cacheField>
    <cacheField name="Coffee Price($)" numFmtId="0">
      <sharedItems containsString="0" containsBlank="1" containsNumber="1" containsInteger="1" minValue="15" maxValue="50" count="8">
        <n v="16"/>
        <n v="20"/>
        <n v="30"/>
        <n v="15"/>
        <n v="50"/>
        <n v="18"/>
        <n v="32"/>
        <m/>
      </sharedItems>
    </cacheField>
    <cacheField name="Scaleperson" numFmtId="0">
      <sharedItems containsBlank="1" count="10">
        <s v="John Doe"/>
        <s v="Jane Smith"/>
        <s v="Sam Wilson"/>
        <s v="Will"/>
        <s v="Jane "/>
        <s v="Tom"/>
        <s v="Jane"/>
        <s v="Sam "/>
        <s v="Sam"/>
        <m/>
      </sharedItems>
    </cacheField>
    <cacheField name="Commission Rate" numFmtId="0">
      <sharedItems containsString="0" containsBlank="1" containsNumber="1" minValue="0" maxValue="0.1" count="12">
        <n v="0.05"/>
        <n v="0.02"/>
        <n v="0.04"/>
        <n v="0.01"/>
        <n v="0.03"/>
        <n v="0.06"/>
        <n v="7.0000000000000007E-2"/>
        <n v="0"/>
        <n v="0.08"/>
        <n v="0.1"/>
        <n v="0.09"/>
        <m/>
      </sharedItems>
    </cacheField>
    <cacheField name="Commission($)" numFmtId="0">
      <sharedItems containsString="0" containsBlank="1" containsNumber="1" minValue="0" maxValue="5"/>
    </cacheField>
    <cacheField name="Total coffee sold by Brew" numFmtId="0">
      <sharedItems containsString="0" containsBlank="1" containsNumber="1" containsInteger="1" minValue="100" maxValue="600" count="13">
        <n v="350"/>
        <n v="420"/>
        <n v="120"/>
        <n v="500"/>
        <n v="300"/>
        <n v="200"/>
        <n v="100"/>
        <n v="150"/>
        <n v="340"/>
        <n v="550"/>
        <n v="600"/>
        <n v="220"/>
        <m/>
      </sharedItems>
    </cacheField>
    <cacheField name="Total Coffee Bought" numFmtId="0">
      <sharedItems containsString="0" containsBlank="1" containsNumber="1" containsInteger="1" minValue="5" maxValue="60"/>
    </cacheField>
    <cacheField name="Notes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s v="Alice"/>
    <d v="2026-03-01T00:00:00"/>
    <d v="1899-12-30T09:15:00"/>
    <x v="0"/>
    <x v="0"/>
    <x v="0"/>
    <x v="0"/>
    <x v="0"/>
    <n v="0.8"/>
    <x v="0"/>
    <n v="20"/>
    <s v="Great regular"/>
  </r>
  <r>
    <x v="1"/>
    <s v="Bob"/>
    <d v="2026-03-02T00:00:00"/>
    <d v="1899-12-30T10:15:00"/>
    <x v="0"/>
    <x v="0"/>
    <x v="0"/>
    <x v="0"/>
    <x v="0"/>
    <n v="0.8"/>
    <x v="0"/>
    <n v="20"/>
    <s v="Likes it Strong"/>
  </r>
  <r>
    <x v="2"/>
    <s v="Charlie"/>
    <d v="2026-03-03T00:00:00"/>
    <d v="1899-12-30T11:15:00"/>
    <x v="1"/>
    <x v="1"/>
    <x v="1"/>
    <x v="1"/>
    <x v="1"/>
    <n v="0.4"/>
    <x v="1"/>
    <n v="50"/>
    <s v="Shared pot"/>
  </r>
  <r>
    <x v="3"/>
    <s v="Ethan"/>
    <d v="2026-03-04T00:00:00"/>
    <d v="1899-12-30T12:15:00"/>
    <x v="1"/>
    <x v="1"/>
    <x v="1"/>
    <x v="1"/>
    <x v="1"/>
    <n v="0.4"/>
    <x v="1"/>
    <n v="50"/>
    <s v="quick sevice"/>
  </r>
  <r>
    <x v="4"/>
    <s v="Fiona"/>
    <d v="2026-03-05T00:00:00"/>
    <d v="1899-12-30T08:00:00"/>
    <x v="1"/>
    <x v="1"/>
    <x v="1"/>
    <x v="1"/>
    <x v="1"/>
    <n v="0.4"/>
    <x v="1"/>
    <n v="50"/>
    <s v="Bulk buy"/>
  </r>
  <r>
    <x v="5"/>
    <s v="Hannah"/>
    <d v="2026-03-06T00:00:00"/>
    <d v="1899-12-30T09:00:00"/>
    <x v="1"/>
    <x v="1"/>
    <x v="1"/>
    <x v="1"/>
    <x v="1"/>
    <n v="0.4"/>
    <x v="1"/>
    <n v="50"/>
    <s v="New custome"/>
  </r>
  <r>
    <x v="6"/>
    <s v="Ian"/>
    <d v="2026-03-07T00:00:00"/>
    <d v="1899-12-30T10:00:00"/>
    <x v="2"/>
    <x v="2"/>
    <x v="2"/>
    <x v="1"/>
    <x v="2"/>
    <n v="1.2"/>
    <x v="2"/>
    <n v="10"/>
    <s v="Double shot"/>
  </r>
  <r>
    <x v="7"/>
    <s v="Julia"/>
    <d v="2026-03-08T00:00:00"/>
    <d v="1899-12-30T11:00:00"/>
    <x v="3"/>
    <x v="0"/>
    <x v="2"/>
    <x v="0"/>
    <x v="0"/>
    <n v="1.5"/>
    <x v="0"/>
    <n v="20"/>
    <s v="Traditional style"/>
  </r>
  <r>
    <x v="8"/>
    <s v="James"/>
    <d v="2026-03-09T00:00:00"/>
    <d v="1899-12-30T12:00:00"/>
    <x v="4"/>
    <x v="3"/>
    <x v="3"/>
    <x v="0"/>
    <x v="3"/>
    <n v="0.15"/>
    <x v="3"/>
    <n v="40"/>
    <s v="Permium roast"/>
  </r>
  <r>
    <x v="9"/>
    <s v="Mary"/>
    <d v="2026-03-10T00:00:00"/>
    <d v="1899-12-30T13:00:00"/>
    <x v="4"/>
    <x v="3"/>
    <x v="3"/>
    <x v="0"/>
    <x v="3"/>
    <n v="0.15"/>
    <x v="3"/>
    <n v="40"/>
    <s v="Daily habit"/>
  </r>
  <r>
    <x v="10"/>
    <s v="Robert"/>
    <d v="2026-03-11T00:00:00"/>
    <d v="1899-12-30T11:20:00"/>
    <x v="5"/>
    <x v="1"/>
    <x v="4"/>
    <x v="1"/>
    <x v="1"/>
    <n v="1"/>
    <x v="1"/>
    <n v="50"/>
    <s v="Large"/>
  </r>
  <r>
    <x v="11"/>
    <s v="Michael"/>
    <d v="2026-03-12T00:00:00"/>
    <d v="1899-12-30T12:20:00"/>
    <x v="4"/>
    <x v="3"/>
    <x v="3"/>
    <x v="0"/>
    <x v="3"/>
    <n v="0.15"/>
    <x v="3"/>
    <n v="40"/>
    <s v="To-go"/>
  </r>
  <r>
    <x v="12"/>
    <s v="David"/>
    <d v="2026-03-13T00:00:00"/>
    <d v="1899-12-30T13:20:00"/>
    <x v="4"/>
    <x v="3"/>
    <x v="3"/>
    <x v="0"/>
    <x v="3"/>
    <n v="0.15"/>
    <x v="3"/>
    <n v="40"/>
    <s v="Fast"/>
  </r>
  <r>
    <x v="13"/>
    <s v="Susan"/>
    <d v="2026-03-14T00:00:00"/>
    <d v="1899-12-30T15:00:00"/>
    <x v="6"/>
    <x v="3"/>
    <x v="5"/>
    <x v="0"/>
    <x v="3"/>
    <n v="0.18"/>
    <x v="3"/>
    <n v="40"/>
    <s v="Intro"/>
  </r>
  <r>
    <x v="14"/>
    <s v="Richard"/>
    <d v="2026-03-15T00:00:00"/>
    <d v="1899-12-30T16:00:00"/>
    <x v="6"/>
    <x v="3"/>
    <x v="5"/>
    <x v="0"/>
    <x v="3"/>
    <n v="0.18"/>
    <x v="3"/>
    <n v="40"/>
    <s v="Ice only"/>
  </r>
  <r>
    <x v="15"/>
    <s v="Vanca"/>
    <d v="2026-03-16T00:00:00"/>
    <d v="1899-12-30T17:00:00"/>
    <x v="7"/>
    <x v="4"/>
    <x v="3"/>
    <x v="2"/>
    <x v="4"/>
    <n v="0.44999999999999996"/>
    <x v="4"/>
    <n v="30"/>
    <s v="Craft"/>
  </r>
  <r>
    <x v="16"/>
    <s v="Emma"/>
    <d v="2026-03-17T00:00:00"/>
    <d v="1899-12-30T18:00:00"/>
    <x v="8"/>
    <x v="4"/>
    <x v="1"/>
    <x v="2"/>
    <x v="4"/>
    <n v="0.6"/>
    <x v="4"/>
    <n v="30"/>
    <s v="Intense"/>
  </r>
  <r>
    <x v="17"/>
    <s v="Noah"/>
    <d v="2026-03-18T00:00:00"/>
    <d v="1899-12-30T19:00:00"/>
    <x v="9"/>
    <x v="4"/>
    <x v="5"/>
    <x v="2"/>
    <x v="4"/>
    <n v="0.54"/>
    <x v="4"/>
    <n v="30"/>
    <s v="VIP"/>
  </r>
  <r>
    <x v="18"/>
    <s v="Olivia"/>
    <d v="2026-03-19T00:00:00"/>
    <d v="1899-12-30T20:00:00"/>
    <x v="10"/>
    <x v="4"/>
    <x v="2"/>
    <x v="2"/>
    <x v="4"/>
    <n v="0.89999999999999991"/>
    <x v="4"/>
    <n v="30"/>
    <s v="Decaf"/>
  </r>
  <r>
    <x v="19"/>
    <s v="Kai"/>
    <d v="2026-03-20T00:00:00"/>
    <d v="1899-12-30T07:00:00"/>
    <x v="11"/>
    <x v="5"/>
    <x v="4"/>
    <x v="3"/>
    <x v="5"/>
    <n v="3"/>
    <x v="5"/>
    <n v="12"/>
    <s v="Daily habit"/>
  </r>
  <r>
    <x v="20"/>
    <s v="Ava"/>
    <d v="2026-03-21T00:00:00"/>
    <d v="1899-12-30T08:00:00"/>
    <x v="12"/>
    <x v="5"/>
    <x v="1"/>
    <x v="3"/>
    <x v="5"/>
    <n v="1.2"/>
    <x v="5"/>
    <n v="12"/>
    <s v="Large"/>
  </r>
  <r>
    <x v="21"/>
    <s v="Jack"/>
    <d v="2026-03-22T00:00:00"/>
    <d v="1899-12-30T09:00:00"/>
    <x v="2"/>
    <x v="2"/>
    <x v="2"/>
    <x v="1"/>
    <x v="2"/>
    <n v="1.2"/>
    <x v="2"/>
    <n v="10"/>
    <s v="Small"/>
  </r>
  <r>
    <x v="22"/>
    <s v="Jace"/>
    <d v="2026-03-23T00:00:00"/>
    <d v="1899-12-30T10:00:00"/>
    <x v="13"/>
    <x v="6"/>
    <x v="3"/>
    <x v="2"/>
    <x v="6"/>
    <n v="1.05"/>
    <x v="6"/>
    <n v="5"/>
    <s v="Small"/>
  </r>
  <r>
    <x v="23"/>
    <s v="Mia"/>
    <d v="2026-03-24T00:00:00"/>
    <d v="1899-12-30T11:00:00"/>
    <x v="14"/>
    <x v="6"/>
    <x v="0"/>
    <x v="2"/>
    <x v="6"/>
    <n v="1.1200000000000001"/>
    <x v="6"/>
    <n v="5"/>
    <s v="Regular"/>
  </r>
  <r>
    <x v="24"/>
    <s v="Luna"/>
    <d v="2026-03-25T00:00:00"/>
    <d v="1899-12-30T06:00:00"/>
    <x v="15"/>
    <x v="6"/>
    <x v="1"/>
    <x v="2"/>
    <x v="6"/>
    <n v="1.4000000000000001"/>
    <x v="6"/>
    <n v="5"/>
    <s v="Strong"/>
  </r>
  <r>
    <x v="25"/>
    <s v="Zana"/>
    <d v="2026-03-26T00:00:00"/>
    <d v="1899-12-30T07:00:00"/>
    <x v="16"/>
    <x v="7"/>
    <x v="2"/>
    <x v="4"/>
    <x v="7"/>
    <n v="0"/>
    <x v="7"/>
    <n v="15"/>
    <s v="Shared pot"/>
  </r>
  <r>
    <x v="26"/>
    <s v="Zane"/>
    <d v="2026-03-27T00:00:00"/>
    <d v="1899-12-30T08:00:00"/>
    <x v="16"/>
    <x v="7"/>
    <x v="2"/>
    <x v="4"/>
    <x v="7"/>
    <n v="0"/>
    <x v="7"/>
    <n v="15"/>
    <s v="quick sevice"/>
  </r>
  <r>
    <x v="27"/>
    <s v="Elena"/>
    <d v="2026-03-28T00:00:00"/>
    <d v="1899-12-30T09:00:00"/>
    <x v="16"/>
    <x v="7"/>
    <x v="2"/>
    <x v="4"/>
    <x v="7"/>
    <n v="0"/>
    <x v="7"/>
    <n v="15"/>
    <s v="Bulk buy"/>
  </r>
  <r>
    <x v="28"/>
    <s v="Elsa"/>
    <d v="2026-03-29T00:00:00"/>
    <d v="1899-12-30T10:00:00"/>
    <x v="16"/>
    <x v="7"/>
    <x v="2"/>
    <x v="4"/>
    <x v="7"/>
    <n v="0"/>
    <x v="7"/>
    <n v="15"/>
    <m/>
  </r>
  <r>
    <x v="29"/>
    <s v="Mei"/>
    <d v="2026-03-30T00:00:00"/>
    <d v="1899-12-30T11:00:00"/>
    <x v="17"/>
    <x v="7"/>
    <x v="1"/>
    <x v="4"/>
    <x v="7"/>
    <n v="0"/>
    <x v="7"/>
    <n v="15"/>
    <s v="New custome"/>
  </r>
  <r>
    <x v="30"/>
    <s v="Arjun"/>
    <d v="2026-03-31T00:00:00"/>
    <d v="1899-12-30T12:00:00"/>
    <x v="18"/>
    <x v="7"/>
    <x v="3"/>
    <x v="4"/>
    <x v="7"/>
    <n v="0"/>
    <x v="7"/>
    <n v="15"/>
    <s v="Double shot"/>
  </r>
  <r>
    <x v="31"/>
    <s v="Patel"/>
    <d v="2026-04-01T00:00:00"/>
    <d v="1899-12-30T03:00:00"/>
    <x v="18"/>
    <x v="7"/>
    <x v="3"/>
    <x v="4"/>
    <x v="7"/>
    <n v="0"/>
    <x v="7"/>
    <n v="15"/>
    <s v="Traditional style"/>
  </r>
  <r>
    <x v="32"/>
    <s v="Sofia"/>
    <d v="2026-04-02T00:00:00"/>
    <d v="1899-12-30T04:00:00"/>
    <x v="19"/>
    <x v="8"/>
    <x v="0"/>
    <x v="5"/>
    <x v="1"/>
    <n v="0.32"/>
    <x v="8"/>
    <n v="22"/>
    <s v="Permium roast"/>
  </r>
  <r>
    <x v="33"/>
    <s v="Willow"/>
    <d v="2026-04-03T00:00:00"/>
    <d v="1899-12-30T05:00:00"/>
    <x v="19"/>
    <x v="8"/>
    <x v="0"/>
    <x v="5"/>
    <x v="1"/>
    <n v="0.32"/>
    <x v="8"/>
    <n v="22"/>
    <s v="Daily habit"/>
  </r>
  <r>
    <x v="34"/>
    <s v="Jasper"/>
    <d v="2026-04-04T00:00:00"/>
    <d v="1899-12-30T06:00:00"/>
    <x v="20"/>
    <x v="9"/>
    <x v="6"/>
    <x v="1"/>
    <x v="8"/>
    <n v="2.56"/>
    <x v="9"/>
    <n v="35"/>
    <s v="Light"/>
  </r>
  <r>
    <x v="35"/>
    <s v="Stone"/>
    <d v="2026-04-05T00:00:00"/>
    <d v="1899-12-30T02:45:00"/>
    <x v="20"/>
    <x v="9"/>
    <x v="6"/>
    <x v="1"/>
    <x v="8"/>
    <n v="2.56"/>
    <x v="9"/>
    <n v="35"/>
    <s v="To-go"/>
  </r>
  <r>
    <x v="36"/>
    <s v="Rowan"/>
    <d v="2026-04-06T00:00:00"/>
    <d v="1899-12-30T03:45:00"/>
    <x v="21"/>
    <x v="9"/>
    <x v="5"/>
    <x v="1"/>
    <x v="8"/>
    <n v="1.44"/>
    <x v="9"/>
    <n v="35"/>
    <s v="To-go"/>
  </r>
  <r>
    <x v="37"/>
    <s v="Iirs"/>
    <d v="2026-04-07T00:00:00"/>
    <d v="1899-12-30T04:45:00"/>
    <x v="22"/>
    <x v="10"/>
    <x v="3"/>
    <x v="1"/>
    <x v="9"/>
    <n v="1.5"/>
    <x v="10"/>
    <n v="60"/>
    <s v="Fast"/>
  </r>
  <r>
    <x v="38"/>
    <s v="Daisy"/>
    <d v="2026-04-08T00:00:00"/>
    <d v="1899-12-30T05:45:00"/>
    <x v="22"/>
    <x v="10"/>
    <x v="3"/>
    <x v="1"/>
    <x v="9"/>
    <n v="1.5"/>
    <x v="10"/>
    <n v="60"/>
    <s v="Into"/>
  </r>
  <r>
    <x v="39"/>
    <s v="River"/>
    <d v="2026-04-09T00:00:00"/>
    <d v="1899-12-30T06:45:00"/>
    <x v="23"/>
    <x v="10"/>
    <x v="1"/>
    <x v="1"/>
    <x v="9"/>
    <n v="2"/>
    <x v="10"/>
    <n v="60"/>
    <s v="Ice only"/>
  </r>
  <r>
    <x v="40"/>
    <s v="Skye"/>
    <d v="2026-04-10T00:00:00"/>
    <d v="1899-12-30T05:00:00"/>
    <x v="0"/>
    <x v="0"/>
    <x v="0"/>
    <x v="0"/>
    <x v="0"/>
    <n v="0.8"/>
    <x v="0"/>
    <n v="20"/>
    <s v="Craft"/>
  </r>
  <r>
    <x v="41"/>
    <s v="Hazel wood"/>
    <d v="2026-04-11T00:00:00"/>
    <d v="1899-12-30T06:00:00"/>
    <x v="15"/>
    <x v="6"/>
    <x v="1"/>
    <x v="2"/>
    <x v="6"/>
    <n v="1.4000000000000001"/>
    <x v="6"/>
    <n v="5"/>
    <s v="Intense"/>
  </r>
  <r>
    <x v="42"/>
    <s v="Juniper"/>
    <d v="2026-04-12T00:00:00"/>
    <d v="1899-12-30T07:00:00"/>
    <x v="24"/>
    <x v="10"/>
    <x v="6"/>
    <x v="1"/>
    <x v="9"/>
    <n v="3.2"/>
    <x v="10"/>
    <n v="60"/>
    <s v="Decaf"/>
  </r>
  <r>
    <x v="43"/>
    <s v="Wilder"/>
    <d v="2026-04-13T00:00:00"/>
    <d v="1899-12-30T08:00:00"/>
    <x v="25"/>
    <x v="10"/>
    <x v="4"/>
    <x v="1"/>
    <x v="9"/>
    <n v="5"/>
    <x v="10"/>
    <n v="60"/>
    <s v="Bulk buy"/>
  </r>
  <r>
    <x v="44"/>
    <s v="Elara"/>
    <d v="2026-04-14T00:00:00"/>
    <d v="1899-12-30T09:00:00"/>
    <x v="26"/>
    <x v="7"/>
    <x v="5"/>
    <x v="6"/>
    <x v="7"/>
    <n v="0"/>
    <x v="7"/>
    <n v="15"/>
    <s v="quick sevice"/>
  </r>
  <r>
    <x v="45"/>
    <s v="Xznthae"/>
    <d v="2026-04-15T00:00:00"/>
    <d v="1899-12-30T09:20:00"/>
    <x v="27"/>
    <x v="3"/>
    <x v="6"/>
    <x v="0"/>
    <x v="3"/>
    <n v="0.32"/>
    <x v="3"/>
    <n v="40"/>
    <s v="Shared pot"/>
  </r>
  <r>
    <x v="46"/>
    <s v="Tom"/>
    <d v="2026-04-16T00:00:00"/>
    <d v="1899-12-30T10:20:00"/>
    <x v="28"/>
    <x v="11"/>
    <x v="2"/>
    <x v="7"/>
    <x v="10"/>
    <n v="2.6999999999999997"/>
    <x v="11"/>
    <n v="28"/>
    <s v="Likes it Strong"/>
  </r>
  <r>
    <x v="47"/>
    <s v="Jaray"/>
    <d v="2026-04-17T00:00:00"/>
    <d v="1899-12-30T11:20:00"/>
    <x v="29"/>
    <x v="11"/>
    <x v="0"/>
    <x v="8"/>
    <x v="10"/>
    <n v="1.44"/>
    <x v="11"/>
    <n v="28"/>
    <s v="Great regular"/>
  </r>
  <r>
    <x v="48"/>
    <s v="Rick"/>
    <d v="2026-04-18T00:00:00"/>
    <d v="1899-12-30T12:20:00"/>
    <x v="30"/>
    <x v="1"/>
    <x v="0"/>
    <x v="1"/>
    <x v="1"/>
    <n v="0.32"/>
    <x v="1"/>
    <n v="50"/>
    <s v="Likes it Strong"/>
  </r>
  <r>
    <x v="49"/>
    <m/>
    <m/>
    <m/>
    <x v="31"/>
    <x v="12"/>
    <x v="7"/>
    <x v="9"/>
    <x v="11"/>
    <m/>
    <x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I27:M31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axis="axisCol"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axis="axisRow" showAll="0">
      <items count="13">
        <item x="7"/>
        <item h="1" x="3"/>
        <item h="1" x="1"/>
        <item h="1" x="4"/>
        <item h="1" x="2"/>
        <item h="1" x="0"/>
        <item h="1" x="5"/>
        <item h="1" x="6"/>
        <item h="1" x="8"/>
        <item h="1" x="10"/>
        <item x="9"/>
        <item h="1" x="11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3">
    <i>
      <x/>
    </i>
    <i>
      <x v="10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ommission($)" fld="9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I20:J23" firstHeaderRow="1" firstDataRow="1" firstDataCol="1"/>
  <pivotFields count="13">
    <pivotField axis="axisRow"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showAll="0"/>
    <pivotField showAll="0"/>
    <pivotField showAll="0"/>
    <pivotField dataField="1" showAll="0">
      <items count="14">
        <item x="4"/>
        <item x="6"/>
        <item x="9"/>
        <item x="5"/>
        <item x="0"/>
        <item x="1"/>
        <item x="8"/>
        <item x="7"/>
        <item x="3"/>
        <item x="11"/>
        <item x="2"/>
        <item x="10"/>
        <item x="12"/>
        <item t="default"/>
      </items>
    </pivotField>
    <pivotField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3">
    <i>
      <x v="15"/>
    </i>
    <i>
      <x v="37"/>
    </i>
    <i t="grand">
      <x/>
    </i>
  </rowItems>
  <colItems count="1">
    <i/>
  </colItems>
  <dataFields count="1">
    <dataField name="Max of Coffee scale(g)" fld="5" subtotal="max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I3:K18" firstHeaderRow="1" firstDataRow="2" firstDataCol="1"/>
  <pivotFields count="13">
    <pivotField showAll="0"/>
    <pivotField showAll="0"/>
    <pivotField dataField="1" showAll="0"/>
    <pivotField dataField="1" showAll="0"/>
    <pivotField showAll="0"/>
    <pivotField axis="axisRow" showAll="0">
      <items count="14">
        <item x="4"/>
        <item x="6"/>
        <item x="9"/>
        <item x="5"/>
        <item x="0"/>
        <item x="1"/>
        <item x="8"/>
        <item x="7"/>
        <item x="3"/>
        <item x="11"/>
        <item x="2"/>
        <item x="10"/>
        <item x="12"/>
        <item t="default"/>
      </items>
    </pivotField>
    <pivotField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ate" fld="2" subtotal="count" baseField="0" baseItem="0"/>
    <dataField name="Count of Time" fld="3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axis="axisRow"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offee Price($)" fld="6" subtotal="count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C20:D39" firstHeaderRow="1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>
      <items count="33">
        <item x="28"/>
        <item x="29"/>
        <item x="25"/>
        <item x="23"/>
        <item x="22"/>
        <item x="24"/>
        <item x="15"/>
        <item x="13"/>
        <item x="14"/>
        <item x="5"/>
        <item x="1"/>
        <item x="30"/>
        <item x="2"/>
        <item x="10"/>
        <item x="8"/>
        <item x="7"/>
        <item x="9"/>
        <item x="19"/>
        <item x="27"/>
        <item x="4"/>
        <item x="6"/>
        <item x="16"/>
        <item x="26"/>
        <item x="17"/>
        <item x="18"/>
        <item x="21"/>
        <item x="20"/>
        <item x="3"/>
        <item x="0"/>
        <item x="11"/>
        <item x="12"/>
        <item x="31"/>
        <item t="default"/>
      </items>
    </pivotField>
    <pivotField showAll="0">
      <items count="14">
        <item x="4"/>
        <item x="6"/>
        <item x="9"/>
        <item x="5"/>
        <item x="0"/>
        <item x="1"/>
        <item x="8"/>
        <item x="7"/>
        <item x="3"/>
        <item x="11"/>
        <item x="2"/>
        <item x="10"/>
        <item x="12"/>
        <item t="default"/>
      </items>
    </pivotField>
    <pivotField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showAll="0"/>
    <pivotField showAll="0"/>
    <pivotField showAll="0">
      <items count="14">
        <item x="6"/>
        <item x="2"/>
        <item x="7"/>
        <item x="5"/>
        <item x="11"/>
        <item x="4"/>
        <item x="8"/>
        <item x="0"/>
        <item x="1"/>
        <item x="3"/>
        <item x="9"/>
        <item x="10"/>
        <item x="12"/>
        <item t="default"/>
      </items>
    </pivotField>
    <pivotField dataField="1" showAll="0"/>
    <pivotField showAll="0"/>
  </pivotFields>
  <rowFields count="1">
    <field x="0"/>
  </rowFields>
  <rowItems count="19"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37"/>
    </i>
    <i>
      <x v="38"/>
    </i>
    <i>
      <x v="39"/>
    </i>
    <i>
      <x v="42"/>
    </i>
    <i>
      <x v="43"/>
    </i>
    <i>
      <x v="45"/>
    </i>
    <i>
      <x v="48"/>
    </i>
    <i t="grand">
      <x/>
    </i>
  </rowItems>
  <colItems count="1">
    <i/>
  </colItems>
  <dataFields count="1">
    <dataField name="Max of Total Coffee Bought" fld="11" subtotal="max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3" iMeasureFld="0">
      <autoFilter ref="A1">
        <filterColumn colId="0">
          <customFilters>
            <customFilter operator="greaterThanOrEqual" val="40"/>
          </customFilters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19:B23" firstHeaderRow="1" firstDataRow="1" firstDataCol="1"/>
  <pivotFields count="13">
    <pivotField showAll="0"/>
    <pivotField showAll="0"/>
    <pivotField showAll="0"/>
    <pivotField showAll="0"/>
    <pivotField axis="axisRow" showAll="0" measureFilter="1">
      <items count="33">
        <item x="28"/>
        <item x="29"/>
        <item x="25"/>
        <item x="23"/>
        <item x="22"/>
        <item x="24"/>
        <item x="15"/>
        <item x="13"/>
        <item x="14"/>
        <item x="5"/>
        <item x="1"/>
        <item x="30"/>
        <item x="2"/>
        <item x="10"/>
        <item x="8"/>
        <item x="7"/>
        <item x="9"/>
        <item x="19"/>
        <item x="27"/>
        <item x="4"/>
        <item x="6"/>
        <item x="16"/>
        <item x="26"/>
        <item x="17"/>
        <item x="18"/>
        <item x="21"/>
        <item x="20"/>
        <item x="3"/>
        <item x="0"/>
        <item x="11"/>
        <item x="12"/>
        <item x="31"/>
        <item t="default"/>
      </items>
    </pivotField>
    <pivotField showAll="0">
      <items count="14">
        <item x="4"/>
        <item x="6"/>
        <item x="9"/>
        <item x="5"/>
        <item x="0"/>
        <item x="1"/>
        <item x="8"/>
        <item x="7"/>
        <item x="3"/>
        <item x="11"/>
        <item x="2"/>
        <item x="10"/>
        <item x="12"/>
        <item t="default"/>
      </items>
    </pivotField>
    <pivotField dataField="1"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showAll="0"/>
    <pivotField showAll="0"/>
    <pivotField showAll="0">
      <items count="14">
        <item x="6"/>
        <item x="2"/>
        <item x="7"/>
        <item x="5"/>
        <item x="11"/>
        <item x="4"/>
        <item x="8"/>
        <item x="0"/>
        <item x="1"/>
        <item x="3"/>
        <item x="9"/>
        <item x="10"/>
        <item x="12"/>
        <item t="default"/>
      </items>
    </pivotField>
    <pivotField showAll="0"/>
    <pivotField showAll="0"/>
  </pivotFields>
  <rowFields count="1">
    <field x="4"/>
  </rowFields>
  <rowItems count="4">
    <i>
      <x v="2"/>
    </i>
    <i>
      <x v="9"/>
    </i>
    <i>
      <x v="29"/>
    </i>
    <i t="grand">
      <x/>
    </i>
  </rowItems>
  <colItems count="1">
    <i/>
  </colItems>
  <dataFields count="1">
    <dataField name="Max of Coffee Price($)" fld="6" subtotal="max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valueGreaterThanOrEqual" evalOrder="-1" id="2" iMeasureFld="0">
      <autoFilter ref="A1">
        <filterColumn colId="0">
          <customFilters>
            <customFilter operator="greaterThanOrEqual" val="50"/>
          </customFilters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M3:N17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14">
        <item x="4"/>
        <item x="6"/>
        <item x="9"/>
        <item x="5"/>
        <item x="0"/>
        <item x="1"/>
        <item x="8"/>
        <item x="7"/>
        <item x="3"/>
        <item x="11"/>
        <item x="2"/>
        <item x="10"/>
        <item x="12"/>
        <item t="default"/>
      </items>
    </pivotField>
    <pivotField showAll="0">
      <items count="9">
        <item x="3"/>
        <item x="0"/>
        <item x="5"/>
        <item x="1"/>
        <item x="2"/>
        <item x="6"/>
        <item x="4"/>
        <item x="7"/>
        <item t="default"/>
      </items>
    </pivotField>
    <pivotField showAll="0">
      <items count="11">
        <item x="6"/>
        <item x="4"/>
        <item x="1"/>
        <item x="0"/>
        <item x="8"/>
        <item x="7"/>
        <item x="2"/>
        <item x="5"/>
        <item x="3"/>
        <item x="9"/>
        <item t="default"/>
      </items>
    </pivotField>
    <pivotField showAll="0"/>
    <pivotField showAll="0"/>
    <pivotField axis="axisRow" showAll="0">
      <items count="14">
        <item x="6"/>
        <item x="2"/>
        <item x="7"/>
        <item x="5"/>
        <item x="11"/>
        <item x="4"/>
        <item x="8"/>
        <item x="0"/>
        <item x="1"/>
        <item x="3"/>
        <item x="9"/>
        <item x="10"/>
        <item x="12"/>
        <item t="default"/>
      </items>
    </pivotField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otal Coffee Bought" fld="11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1"/>
  <sheetViews>
    <sheetView zoomScale="55" zoomScaleNormal="55" workbookViewId="0">
      <selection activeCell="AE18" sqref="AE18"/>
    </sheetView>
  </sheetViews>
  <sheetFormatPr defaultRowHeight="15"/>
  <sheetData>
    <row r="1" spans="1:3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61.5">
      <c r="A2" s="10"/>
      <c r="B2" s="10"/>
      <c r="C2" s="10"/>
      <c r="D2" s="10"/>
      <c r="E2" s="11" t="s">
        <v>183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N39"/>
  <sheetViews>
    <sheetView zoomScale="40" zoomScaleNormal="40" workbookViewId="0">
      <selection activeCell="K57" sqref="K57"/>
    </sheetView>
  </sheetViews>
  <sheetFormatPr defaultRowHeight="15"/>
  <cols>
    <col min="1" max="1" width="25.85546875" customWidth="1"/>
    <col min="2" max="2" width="21.140625" customWidth="1"/>
    <col min="3" max="3" width="13.140625" customWidth="1"/>
    <col min="4" max="4" width="25.7109375" customWidth="1"/>
    <col min="5" max="5" width="27.140625" customWidth="1"/>
    <col min="6" max="8" width="3" customWidth="1"/>
    <col min="9" max="9" width="28.85546875" customWidth="1"/>
    <col min="10" max="10" width="21.5703125" customWidth="1"/>
    <col min="11" max="11" width="7.85546875" customWidth="1"/>
    <col min="12" max="12" width="14.28515625" bestFit="1" customWidth="1"/>
    <col min="13" max="13" width="15" customWidth="1"/>
    <col min="14" max="14" width="6.7109375" customWidth="1"/>
    <col min="15" max="15" width="7.28515625" customWidth="1"/>
    <col min="16" max="16" width="14.5703125" bestFit="1" customWidth="1"/>
    <col min="17" max="17" width="6.42578125" customWidth="1"/>
    <col min="18" max="18" width="5.7109375" customWidth="1"/>
    <col min="19" max="19" width="9.5703125" bestFit="1" customWidth="1"/>
    <col min="20" max="20" width="15" bestFit="1" customWidth="1"/>
  </cols>
  <sheetData>
    <row r="3" spans="1:14">
      <c r="A3" s="6" t="s">
        <v>173</v>
      </c>
      <c r="B3" t="s">
        <v>176</v>
      </c>
      <c r="J3" s="6" t="s">
        <v>178</v>
      </c>
      <c r="M3" s="6" t="s">
        <v>173</v>
      </c>
      <c r="N3" t="s">
        <v>180</v>
      </c>
    </row>
    <row r="4" spans="1:14">
      <c r="A4" s="7" t="s">
        <v>146</v>
      </c>
      <c r="B4" s="9">
        <v>1</v>
      </c>
      <c r="I4" s="6" t="s">
        <v>173</v>
      </c>
      <c r="J4" t="s">
        <v>177</v>
      </c>
      <c r="K4" t="s">
        <v>179</v>
      </c>
      <c r="M4" s="7">
        <v>100</v>
      </c>
      <c r="N4" s="8">
        <v>4</v>
      </c>
    </row>
    <row r="5" spans="1:14">
      <c r="A5" s="7" t="s">
        <v>144</v>
      </c>
      <c r="B5" s="9">
        <v>7</v>
      </c>
      <c r="I5" s="7">
        <v>10</v>
      </c>
      <c r="J5" s="8">
        <v>4</v>
      </c>
      <c r="K5" s="8">
        <v>4</v>
      </c>
      <c r="M5" s="7">
        <v>120</v>
      </c>
      <c r="N5" s="8">
        <v>2</v>
      </c>
    </row>
    <row r="6" spans="1:14">
      <c r="A6" s="7" t="s">
        <v>142</v>
      </c>
      <c r="B6" s="9">
        <v>16</v>
      </c>
      <c r="I6" s="7">
        <v>12</v>
      </c>
      <c r="J6" s="8">
        <v>4</v>
      </c>
      <c r="K6" s="8">
        <v>4</v>
      </c>
      <c r="M6" s="7">
        <v>150</v>
      </c>
      <c r="N6" s="8">
        <v>8</v>
      </c>
    </row>
    <row r="7" spans="1:14">
      <c r="A7" s="7" t="s">
        <v>141</v>
      </c>
      <c r="B7" s="9">
        <v>11</v>
      </c>
      <c r="I7" s="7">
        <v>14</v>
      </c>
      <c r="J7" s="8">
        <v>3</v>
      </c>
      <c r="K7" s="8">
        <v>3</v>
      </c>
      <c r="M7" s="7">
        <v>200</v>
      </c>
      <c r="N7" s="8">
        <v>2</v>
      </c>
    </row>
    <row r="8" spans="1:14">
      <c r="A8" s="7" t="s">
        <v>148</v>
      </c>
      <c r="B8" s="9">
        <v>1</v>
      </c>
      <c r="I8" s="7">
        <v>16</v>
      </c>
      <c r="J8" s="8">
        <v>2</v>
      </c>
      <c r="K8" s="8">
        <v>2</v>
      </c>
      <c r="M8" s="7">
        <v>220</v>
      </c>
      <c r="N8" s="8">
        <v>2</v>
      </c>
    </row>
    <row r="9" spans="1:14">
      <c r="A9" s="7" t="s">
        <v>147</v>
      </c>
      <c r="B9" s="9">
        <v>1</v>
      </c>
      <c r="I9" s="7">
        <v>18</v>
      </c>
      <c r="J9" s="8">
        <v>4</v>
      </c>
      <c r="K9" s="8">
        <v>4</v>
      </c>
      <c r="M9" s="7">
        <v>300</v>
      </c>
      <c r="N9" s="8">
        <v>4</v>
      </c>
    </row>
    <row r="10" spans="1:14">
      <c r="A10" s="7" t="s">
        <v>143</v>
      </c>
      <c r="B10" s="9">
        <v>8</v>
      </c>
      <c r="I10" s="7">
        <v>20</v>
      </c>
      <c r="J10" s="8">
        <v>6</v>
      </c>
      <c r="K10" s="8">
        <v>6</v>
      </c>
      <c r="M10" s="7">
        <v>340</v>
      </c>
      <c r="N10" s="8">
        <v>2</v>
      </c>
    </row>
    <row r="11" spans="1:14">
      <c r="A11" s="7" t="s">
        <v>107</v>
      </c>
      <c r="B11" s="9">
        <v>2</v>
      </c>
      <c r="I11" s="7">
        <v>23</v>
      </c>
      <c r="J11" s="8">
        <v>2</v>
      </c>
      <c r="K11" s="8">
        <v>2</v>
      </c>
      <c r="M11" s="7">
        <v>350</v>
      </c>
      <c r="N11" s="8">
        <v>4</v>
      </c>
    </row>
    <row r="12" spans="1:14">
      <c r="A12" s="7" t="s">
        <v>145</v>
      </c>
      <c r="B12" s="9">
        <v>2</v>
      </c>
      <c r="I12" s="7">
        <v>25</v>
      </c>
      <c r="J12" s="8">
        <v>8</v>
      </c>
      <c r="K12" s="8">
        <v>8</v>
      </c>
      <c r="M12" s="7">
        <v>420</v>
      </c>
      <c r="N12" s="8">
        <v>6</v>
      </c>
    </row>
    <row r="13" spans="1:14">
      <c r="A13" s="7" t="s">
        <v>175</v>
      </c>
      <c r="B13" s="9"/>
      <c r="I13" s="7">
        <v>30</v>
      </c>
      <c r="J13" s="8">
        <v>7</v>
      </c>
      <c r="K13" s="8">
        <v>7</v>
      </c>
      <c r="M13" s="7">
        <v>500</v>
      </c>
      <c r="N13" s="8">
        <v>7</v>
      </c>
    </row>
    <row r="14" spans="1:14">
      <c r="A14" s="7" t="s">
        <v>174</v>
      </c>
      <c r="B14" s="9">
        <v>49</v>
      </c>
      <c r="I14" s="7">
        <v>35</v>
      </c>
      <c r="J14" s="8">
        <v>2</v>
      </c>
      <c r="K14" s="8">
        <v>2</v>
      </c>
      <c r="M14" s="7">
        <v>550</v>
      </c>
      <c r="N14" s="8">
        <v>3</v>
      </c>
    </row>
    <row r="15" spans="1:14">
      <c r="I15" s="7">
        <v>40</v>
      </c>
      <c r="J15" s="8">
        <v>2</v>
      </c>
      <c r="K15" s="8">
        <v>2</v>
      </c>
      <c r="M15" s="7">
        <v>600</v>
      </c>
      <c r="N15" s="8">
        <v>5</v>
      </c>
    </row>
    <row r="16" spans="1:14">
      <c r="I16" s="7">
        <v>50</v>
      </c>
      <c r="J16" s="8">
        <v>5</v>
      </c>
      <c r="K16" s="8">
        <v>5</v>
      </c>
      <c r="M16" s="7" t="s">
        <v>175</v>
      </c>
      <c r="N16" s="8"/>
    </row>
    <row r="17" spans="1:14">
      <c r="I17" s="7" t="s">
        <v>175</v>
      </c>
      <c r="J17" s="8"/>
      <c r="K17" s="8"/>
      <c r="M17" s="7" t="s">
        <v>174</v>
      </c>
      <c r="N17" s="8">
        <v>49</v>
      </c>
    </row>
    <row r="18" spans="1:14">
      <c r="I18" s="7" t="s">
        <v>174</v>
      </c>
      <c r="J18" s="8">
        <v>49</v>
      </c>
      <c r="K18" s="8">
        <v>49</v>
      </c>
    </row>
    <row r="19" spans="1:14">
      <c r="A19" s="6" t="s">
        <v>173</v>
      </c>
      <c r="B19" t="s">
        <v>181</v>
      </c>
    </row>
    <row r="20" spans="1:14">
      <c r="A20" s="7" t="s">
        <v>135</v>
      </c>
      <c r="B20" s="8">
        <v>50</v>
      </c>
      <c r="C20" s="6" t="s">
        <v>173</v>
      </c>
      <c r="D20" t="s">
        <v>182</v>
      </c>
      <c r="I20" s="6" t="s">
        <v>173</v>
      </c>
      <c r="J20" t="s">
        <v>191</v>
      </c>
    </row>
    <row r="21" spans="1:14">
      <c r="A21" s="7" t="s">
        <v>115</v>
      </c>
      <c r="B21" s="8">
        <v>50</v>
      </c>
      <c r="C21" s="7" t="s">
        <v>13</v>
      </c>
      <c r="D21" s="8">
        <v>50</v>
      </c>
      <c r="I21" s="7" t="s">
        <v>26</v>
      </c>
      <c r="J21" s="8">
        <v>10</v>
      </c>
    </row>
    <row r="22" spans="1:14">
      <c r="A22" s="7" t="s">
        <v>121</v>
      </c>
      <c r="B22" s="8">
        <v>50</v>
      </c>
      <c r="C22" s="7" t="s">
        <v>14</v>
      </c>
      <c r="D22" s="8">
        <v>50</v>
      </c>
      <c r="I22" s="7" t="s">
        <v>48</v>
      </c>
      <c r="J22" s="8">
        <v>50</v>
      </c>
    </row>
    <row r="23" spans="1:14">
      <c r="A23" s="7" t="s">
        <v>174</v>
      </c>
      <c r="B23" s="8">
        <v>50</v>
      </c>
      <c r="C23" s="7" t="s">
        <v>15</v>
      </c>
      <c r="D23" s="8">
        <v>50</v>
      </c>
      <c r="I23" s="7" t="s">
        <v>174</v>
      </c>
      <c r="J23" s="8">
        <v>50</v>
      </c>
    </row>
    <row r="24" spans="1:14">
      <c r="C24" s="7" t="s">
        <v>16</v>
      </c>
      <c r="D24" s="8">
        <v>50</v>
      </c>
    </row>
    <row r="25" spans="1:14">
      <c r="C25" s="7" t="s">
        <v>19</v>
      </c>
      <c r="D25" s="8">
        <v>40</v>
      </c>
    </row>
    <row r="26" spans="1:14">
      <c r="C26" s="7" t="s">
        <v>20</v>
      </c>
      <c r="D26" s="8">
        <v>40</v>
      </c>
    </row>
    <row r="27" spans="1:14">
      <c r="C27" s="7" t="s">
        <v>21</v>
      </c>
      <c r="D27" s="8">
        <v>50</v>
      </c>
      <c r="I27" s="6" t="s">
        <v>193</v>
      </c>
      <c r="J27" s="6" t="s">
        <v>194</v>
      </c>
    </row>
    <row r="28" spans="1:14">
      <c r="C28" s="7" t="s">
        <v>22</v>
      </c>
      <c r="D28" s="8">
        <v>40</v>
      </c>
      <c r="I28" s="6" t="s">
        <v>173</v>
      </c>
      <c r="J28" t="s">
        <v>146</v>
      </c>
      <c r="K28" t="s">
        <v>144</v>
      </c>
      <c r="L28" t="s">
        <v>142</v>
      </c>
      <c r="M28" t="s">
        <v>174</v>
      </c>
    </row>
    <row r="29" spans="1:14">
      <c r="C29" s="7" t="s">
        <v>23</v>
      </c>
      <c r="D29" s="8">
        <v>40</v>
      </c>
      <c r="I29" s="7">
        <v>0</v>
      </c>
      <c r="J29" s="8">
        <v>1</v>
      </c>
      <c r="K29" s="8">
        <v>7</v>
      </c>
      <c r="L29" s="8"/>
      <c r="M29" s="8">
        <v>8</v>
      </c>
    </row>
    <row r="30" spans="1:14">
      <c r="C30" s="7" t="s">
        <v>24</v>
      </c>
      <c r="D30" s="8">
        <v>40</v>
      </c>
      <c r="I30" s="7">
        <v>0.1</v>
      </c>
      <c r="J30" s="8"/>
      <c r="K30" s="8"/>
      <c r="L30" s="8">
        <v>5</v>
      </c>
      <c r="M30" s="8">
        <v>5</v>
      </c>
    </row>
    <row r="31" spans="1:14">
      <c r="C31" s="7" t="s">
        <v>25</v>
      </c>
      <c r="D31" s="8">
        <v>40</v>
      </c>
      <c r="I31" s="7" t="s">
        <v>174</v>
      </c>
      <c r="J31" s="8">
        <v>1</v>
      </c>
      <c r="K31" s="8">
        <v>7</v>
      </c>
      <c r="L31" s="8">
        <v>5</v>
      </c>
      <c r="M31" s="8">
        <v>13</v>
      </c>
    </row>
    <row r="32" spans="1:14">
      <c r="C32" s="7" t="s">
        <v>48</v>
      </c>
      <c r="D32" s="8">
        <v>60</v>
      </c>
    </row>
    <row r="33" spans="3:4">
      <c r="C33" s="7" t="s">
        <v>49</v>
      </c>
      <c r="D33" s="8">
        <v>60</v>
      </c>
    </row>
    <row r="34" spans="3:4">
      <c r="C34" s="7" t="s">
        <v>50</v>
      </c>
      <c r="D34" s="8">
        <v>60</v>
      </c>
    </row>
    <row r="35" spans="3:4">
      <c r="C35" s="7" t="s">
        <v>53</v>
      </c>
      <c r="D35" s="8">
        <v>60</v>
      </c>
    </row>
    <row r="36" spans="3:4">
      <c r="C36" s="7" t="s">
        <v>54</v>
      </c>
      <c r="D36" s="8">
        <v>60</v>
      </c>
    </row>
    <row r="37" spans="3:4">
      <c r="C37" s="7" t="s">
        <v>56</v>
      </c>
      <c r="D37" s="8">
        <v>40</v>
      </c>
    </row>
    <row r="38" spans="3:4">
      <c r="C38" s="7" t="s">
        <v>59</v>
      </c>
      <c r="D38" s="8">
        <v>50</v>
      </c>
    </row>
    <row r="39" spans="3:4">
      <c r="C39" s="7" t="s">
        <v>174</v>
      </c>
      <c r="D39" s="8">
        <v>60</v>
      </c>
    </row>
  </sheetData>
  <pageMargins left="0.7" right="0.7" top="0.75" bottom="0.75" header="0.3" footer="0.3"/>
  <pageSetup orientation="portrait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2"/>
  <sheetViews>
    <sheetView tabSelected="1" zoomScale="115" zoomScaleNormal="115" workbookViewId="0">
      <selection activeCell="X7" sqref="X7"/>
    </sheetView>
  </sheetViews>
  <sheetFormatPr defaultRowHeight="15"/>
  <cols>
    <col min="1" max="1" width="11.85546875" style="1" bestFit="1" customWidth="1"/>
    <col min="2" max="2" width="15" style="1" customWidth="1"/>
    <col min="3" max="3" width="9.7109375" style="1" bestFit="1" customWidth="1"/>
    <col min="4" max="4" width="9.140625" style="1" customWidth="1"/>
    <col min="5" max="5" width="15.85546875" style="1" customWidth="1"/>
    <col min="6" max="6" width="14.42578125" style="1" customWidth="1"/>
    <col min="7" max="7" width="14.28515625" style="1" customWidth="1"/>
    <col min="8" max="8" width="12" style="1" customWidth="1"/>
    <col min="9" max="9" width="16.42578125" style="1" customWidth="1"/>
    <col min="10" max="10" width="14.140625" style="1" customWidth="1"/>
    <col min="11" max="11" width="22.85546875" style="1" customWidth="1"/>
    <col min="12" max="12" width="9.140625" style="1"/>
    <col min="13" max="13" width="11.140625" style="1" customWidth="1"/>
    <col min="14" max="16384" width="9.140625" style="1"/>
  </cols>
  <sheetData>
    <row r="1" spans="1:21" ht="45.75" customHeight="1">
      <c r="A1" s="2" t="s">
        <v>0</v>
      </c>
      <c r="B1" s="2" t="s">
        <v>184</v>
      </c>
      <c r="C1" s="2" t="s">
        <v>1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185</v>
      </c>
      <c r="M1" s="2" t="s">
        <v>10</v>
      </c>
      <c r="N1" s="2" t="s">
        <v>186</v>
      </c>
      <c r="O1" s="2" t="s">
        <v>187</v>
      </c>
      <c r="P1" s="2" t="s">
        <v>188</v>
      </c>
      <c r="Q1" s="2" t="s">
        <v>189</v>
      </c>
      <c r="R1" s="2" t="s">
        <v>190</v>
      </c>
      <c r="S1" s="2" t="s">
        <v>192</v>
      </c>
      <c r="T1" s="2" t="s">
        <v>195</v>
      </c>
      <c r="U1" s="2" t="s">
        <v>196</v>
      </c>
    </row>
    <row r="2" spans="1:21" ht="30">
      <c r="A2" s="2" t="s">
        <v>11</v>
      </c>
      <c r="B2" s="2" t="s">
        <v>61</v>
      </c>
      <c r="C2" s="3">
        <v>46082</v>
      </c>
      <c r="D2" s="4">
        <v>0.38541666666666669</v>
      </c>
      <c r="E2" s="2" t="s">
        <v>111</v>
      </c>
      <c r="F2" s="2">
        <v>18</v>
      </c>
      <c r="G2" s="2">
        <v>16</v>
      </c>
      <c r="H2" s="2" t="s">
        <v>141</v>
      </c>
      <c r="I2" s="5">
        <v>0.05</v>
      </c>
      <c r="J2" s="2">
        <f>G2*I2</f>
        <v>0.8</v>
      </c>
      <c r="K2" s="2">
        <f>SUMIF(E2:E50,"Pour Over/Medium",F2:F50)</f>
        <v>54</v>
      </c>
      <c r="L2" s="2">
        <f>MAX(F2:F51)</f>
        <v>50</v>
      </c>
      <c r="M2" s="2" t="s">
        <v>149</v>
      </c>
      <c r="N2" s="2">
        <f>MIN(F2:F51)</f>
        <v>10</v>
      </c>
      <c r="O2" s="2">
        <f>AVERAGE(F2:F51)</f>
        <v>24.6</v>
      </c>
      <c r="P2" s="2">
        <f>COUNTA(A2:A51)</f>
        <v>50</v>
      </c>
      <c r="Q2" s="2" t="str">
        <f>IF(I2&gt;=10,"HIGH","LOW")</f>
        <v>LOW</v>
      </c>
      <c r="R2" s="2" t="str">
        <f>INDEX(A2:A51,MATCH(MAX(F2:F51),F2:F51,0))</f>
        <v>C038</v>
      </c>
      <c r="S2" s="2" t="str">
        <f>INDEX(A2:A51,MATCH(MIN(F2:F51),F2:F51,0))</f>
        <v>C016</v>
      </c>
      <c r="T2" s="2">
        <f>MAX(G2:G51)</f>
        <v>50</v>
      </c>
      <c r="U2" s="2">
        <f>MIN(G2:G51)</f>
        <v>15</v>
      </c>
    </row>
    <row r="3" spans="1:21" ht="30">
      <c r="A3" s="2" t="s">
        <v>12</v>
      </c>
      <c r="B3" s="2" t="s">
        <v>62</v>
      </c>
      <c r="C3" s="3">
        <v>46083</v>
      </c>
      <c r="D3" s="4">
        <v>0.42708333333333298</v>
      </c>
      <c r="E3" s="2" t="s">
        <v>111</v>
      </c>
      <c r="F3" s="2">
        <v>18</v>
      </c>
      <c r="G3" s="2">
        <v>16</v>
      </c>
      <c r="H3" s="2" t="s">
        <v>141</v>
      </c>
      <c r="I3" s="5">
        <v>0.05</v>
      </c>
      <c r="J3" s="2">
        <f t="shared" ref="J3:J51" si="0">G3*I3</f>
        <v>0.8</v>
      </c>
      <c r="K3" s="2">
        <f t="shared" ref="K3:K51" si="1">SUMIF(E3:E51,"Pour Over/Medium",F3:F51)</f>
        <v>36</v>
      </c>
      <c r="L3" s="2"/>
      <c r="M3" s="2" t="s">
        <v>150</v>
      </c>
      <c r="N3" s="13"/>
      <c r="O3" s="2"/>
      <c r="P3" s="2"/>
      <c r="Q3" s="2" t="str">
        <f t="shared" ref="Q3:Q51" si="2">IF(I3&lt;=10,"HIGH","LOW")</f>
        <v>HIGH</v>
      </c>
      <c r="R3" s="2"/>
      <c r="S3" s="2"/>
      <c r="T3" s="2"/>
      <c r="U3" s="2"/>
    </row>
    <row r="4" spans="1:21">
      <c r="A4" s="2" t="s">
        <v>13</v>
      </c>
      <c r="B4" s="2" t="s">
        <v>63</v>
      </c>
      <c r="C4" s="3">
        <v>46084</v>
      </c>
      <c r="D4" s="4">
        <v>0.46875</v>
      </c>
      <c r="E4" s="2" t="s">
        <v>114</v>
      </c>
      <c r="F4" s="2">
        <v>20</v>
      </c>
      <c r="G4" s="2">
        <v>20</v>
      </c>
      <c r="H4" s="2" t="s">
        <v>142</v>
      </c>
      <c r="I4" s="5">
        <v>0.02</v>
      </c>
      <c r="J4" s="2">
        <f t="shared" si="0"/>
        <v>0.4</v>
      </c>
      <c r="K4" s="2">
        <f t="shared" si="1"/>
        <v>18</v>
      </c>
      <c r="L4" s="2"/>
      <c r="M4" s="2" t="s">
        <v>151</v>
      </c>
      <c r="N4" s="13"/>
      <c r="O4" s="2"/>
      <c r="P4" s="2"/>
      <c r="Q4" s="2" t="str">
        <f t="shared" si="2"/>
        <v>HIGH</v>
      </c>
      <c r="R4" s="2"/>
      <c r="S4" s="2"/>
      <c r="T4" s="2"/>
      <c r="U4" s="2"/>
    </row>
    <row r="5" spans="1:21" ht="30">
      <c r="A5" s="2" t="s">
        <v>14</v>
      </c>
      <c r="B5" s="2" t="s">
        <v>64</v>
      </c>
      <c r="C5" s="3">
        <v>46085</v>
      </c>
      <c r="D5" s="4">
        <v>0.51041666666666696</v>
      </c>
      <c r="E5" s="2" t="s">
        <v>114</v>
      </c>
      <c r="F5" s="2">
        <v>20</v>
      </c>
      <c r="G5" s="2">
        <v>20</v>
      </c>
      <c r="H5" s="2" t="s">
        <v>142</v>
      </c>
      <c r="I5" s="5">
        <v>0.02</v>
      </c>
      <c r="J5" s="2">
        <f t="shared" si="0"/>
        <v>0.4</v>
      </c>
      <c r="K5" s="2">
        <f t="shared" si="1"/>
        <v>18</v>
      </c>
      <c r="L5" s="2"/>
      <c r="M5" s="2" t="s">
        <v>152</v>
      </c>
      <c r="N5" s="13"/>
      <c r="O5" s="2"/>
      <c r="P5" s="2"/>
      <c r="Q5" s="2" t="str">
        <f t="shared" si="2"/>
        <v>HIGH</v>
      </c>
      <c r="R5" s="2"/>
      <c r="S5" s="2"/>
      <c r="T5" s="2"/>
      <c r="U5" s="2"/>
    </row>
    <row r="6" spans="1:21">
      <c r="A6" s="2" t="s">
        <v>15</v>
      </c>
      <c r="B6" s="2" t="s">
        <v>65</v>
      </c>
      <c r="C6" s="3">
        <v>46086</v>
      </c>
      <c r="D6" s="4">
        <v>0.33333333333333331</v>
      </c>
      <c r="E6" s="2" t="s">
        <v>114</v>
      </c>
      <c r="F6" s="2">
        <v>20</v>
      </c>
      <c r="G6" s="2">
        <v>20</v>
      </c>
      <c r="H6" s="2" t="s">
        <v>142</v>
      </c>
      <c r="I6" s="5">
        <v>0.02</v>
      </c>
      <c r="J6" s="2">
        <f t="shared" si="0"/>
        <v>0.4</v>
      </c>
      <c r="K6" s="2">
        <f t="shared" si="1"/>
        <v>18</v>
      </c>
      <c r="L6" s="2"/>
      <c r="M6" s="2" t="s">
        <v>153</v>
      </c>
      <c r="N6" s="13"/>
      <c r="O6" s="2"/>
      <c r="P6" s="2"/>
      <c r="Q6" s="2" t="str">
        <f t="shared" si="2"/>
        <v>HIGH</v>
      </c>
      <c r="R6" s="2"/>
      <c r="S6" s="2"/>
      <c r="T6" s="2"/>
      <c r="U6" s="2"/>
    </row>
    <row r="7" spans="1:21" ht="30">
      <c r="A7" s="2" t="s">
        <v>16</v>
      </c>
      <c r="B7" s="2" t="s">
        <v>66</v>
      </c>
      <c r="C7" s="3">
        <v>46087</v>
      </c>
      <c r="D7" s="4">
        <v>0.375</v>
      </c>
      <c r="E7" s="2" t="s">
        <v>114</v>
      </c>
      <c r="F7" s="2">
        <v>20</v>
      </c>
      <c r="G7" s="2">
        <v>20</v>
      </c>
      <c r="H7" s="2" t="s">
        <v>142</v>
      </c>
      <c r="I7" s="5">
        <v>0.02</v>
      </c>
      <c r="J7" s="2">
        <f t="shared" si="0"/>
        <v>0.4</v>
      </c>
      <c r="K7" s="2">
        <f t="shared" si="1"/>
        <v>18</v>
      </c>
      <c r="L7" s="2"/>
      <c r="M7" s="2" t="s">
        <v>154</v>
      </c>
      <c r="N7" s="13"/>
      <c r="O7" s="2"/>
      <c r="P7" s="2"/>
      <c r="Q7" s="2" t="str">
        <f t="shared" si="2"/>
        <v>HIGH</v>
      </c>
      <c r="R7" s="2"/>
      <c r="S7" s="2"/>
      <c r="T7" s="2"/>
      <c r="U7" s="2"/>
    </row>
    <row r="8" spans="1:21" ht="30">
      <c r="A8" s="2" t="s">
        <v>17</v>
      </c>
      <c r="B8" s="2" t="s">
        <v>67</v>
      </c>
      <c r="C8" s="3">
        <v>46088</v>
      </c>
      <c r="D8" s="4">
        <v>0.41666666666666702</v>
      </c>
      <c r="E8" s="2" t="s">
        <v>110</v>
      </c>
      <c r="F8" s="2">
        <v>40</v>
      </c>
      <c r="G8" s="2">
        <v>30</v>
      </c>
      <c r="H8" s="2" t="s">
        <v>142</v>
      </c>
      <c r="I8" s="5">
        <v>0.04</v>
      </c>
      <c r="J8" s="2">
        <f t="shared" si="0"/>
        <v>1.2</v>
      </c>
      <c r="K8" s="2">
        <f t="shared" si="1"/>
        <v>18</v>
      </c>
      <c r="L8" s="2"/>
      <c r="M8" s="2" t="s">
        <v>155</v>
      </c>
      <c r="N8" s="13"/>
      <c r="O8" s="2"/>
      <c r="P8" s="2"/>
      <c r="Q8" s="2" t="str">
        <f t="shared" si="2"/>
        <v>HIGH</v>
      </c>
      <c r="R8" s="2"/>
      <c r="S8" s="2"/>
      <c r="T8" s="2"/>
      <c r="U8" s="2"/>
    </row>
    <row r="9" spans="1:21" ht="30">
      <c r="A9" s="2" t="s">
        <v>18</v>
      </c>
      <c r="B9" s="2" t="s">
        <v>68</v>
      </c>
      <c r="C9" s="3">
        <v>46089</v>
      </c>
      <c r="D9" s="4">
        <v>0.45833333333333298</v>
      </c>
      <c r="E9" s="2" t="s">
        <v>112</v>
      </c>
      <c r="F9" s="2">
        <v>18</v>
      </c>
      <c r="G9" s="2">
        <v>30</v>
      </c>
      <c r="H9" s="2" t="s">
        <v>141</v>
      </c>
      <c r="I9" s="5">
        <v>0.05</v>
      </c>
      <c r="J9" s="2">
        <f t="shared" si="0"/>
        <v>1.5</v>
      </c>
      <c r="K9" s="2">
        <f t="shared" si="1"/>
        <v>18</v>
      </c>
      <c r="L9" s="2"/>
      <c r="M9" s="2" t="s">
        <v>156</v>
      </c>
      <c r="N9" s="13"/>
      <c r="O9" s="2"/>
      <c r="P9" s="2"/>
      <c r="Q9" s="2" t="str">
        <f t="shared" si="2"/>
        <v>HIGH</v>
      </c>
      <c r="R9" s="2"/>
      <c r="S9" s="2"/>
      <c r="T9" s="2"/>
      <c r="U9" s="2"/>
    </row>
    <row r="10" spans="1:21" ht="30">
      <c r="A10" s="2" t="s">
        <v>19</v>
      </c>
      <c r="B10" s="2" t="s">
        <v>69</v>
      </c>
      <c r="C10" s="3">
        <v>46090</v>
      </c>
      <c r="D10" s="4">
        <v>0.5</v>
      </c>
      <c r="E10" s="2" t="s">
        <v>113</v>
      </c>
      <c r="F10" s="2">
        <v>30</v>
      </c>
      <c r="G10" s="2">
        <v>15</v>
      </c>
      <c r="H10" s="2" t="s">
        <v>141</v>
      </c>
      <c r="I10" s="5">
        <v>0.01</v>
      </c>
      <c r="J10" s="2">
        <f t="shared" si="0"/>
        <v>0.15</v>
      </c>
      <c r="K10" s="2">
        <f t="shared" si="1"/>
        <v>18</v>
      </c>
      <c r="L10" s="2"/>
      <c r="M10" s="2" t="s">
        <v>157</v>
      </c>
      <c r="N10" s="13"/>
      <c r="O10" s="2"/>
      <c r="P10" s="2"/>
      <c r="Q10" s="2" t="str">
        <f t="shared" si="2"/>
        <v>HIGH</v>
      </c>
      <c r="R10" s="2"/>
      <c r="S10" s="2"/>
      <c r="T10" s="2"/>
      <c r="U10" s="2"/>
    </row>
    <row r="11" spans="1:21" ht="30">
      <c r="A11" s="2" t="s">
        <v>20</v>
      </c>
      <c r="B11" s="2" t="s">
        <v>70</v>
      </c>
      <c r="C11" s="3">
        <v>46091</v>
      </c>
      <c r="D11" s="4">
        <v>0.54166666666666696</v>
      </c>
      <c r="E11" s="2" t="s">
        <v>113</v>
      </c>
      <c r="F11" s="2">
        <v>30</v>
      </c>
      <c r="G11" s="2">
        <v>15</v>
      </c>
      <c r="H11" s="2" t="s">
        <v>141</v>
      </c>
      <c r="I11" s="5">
        <v>0.01</v>
      </c>
      <c r="J11" s="2">
        <f t="shared" si="0"/>
        <v>0.15</v>
      </c>
      <c r="K11" s="2">
        <f t="shared" si="1"/>
        <v>18</v>
      </c>
      <c r="L11" s="2"/>
      <c r="M11" s="2" t="s">
        <v>158</v>
      </c>
      <c r="N11" s="13"/>
      <c r="O11" s="2"/>
      <c r="P11" s="2"/>
      <c r="Q11" s="2" t="str">
        <f t="shared" si="2"/>
        <v>HIGH</v>
      </c>
      <c r="R11" s="2"/>
      <c r="S11" s="2"/>
      <c r="T11" s="2"/>
      <c r="U11" s="2"/>
    </row>
    <row r="12" spans="1:21" ht="30">
      <c r="A12" s="2" t="s">
        <v>21</v>
      </c>
      <c r="B12" s="2" t="s">
        <v>71</v>
      </c>
      <c r="C12" s="3">
        <v>46092</v>
      </c>
      <c r="D12" s="4">
        <v>0.47222222222222227</v>
      </c>
      <c r="E12" s="2" t="s">
        <v>115</v>
      </c>
      <c r="F12" s="2">
        <v>20</v>
      </c>
      <c r="G12" s="2">
        <v>50</v>
      </c>
      <c r="H12" s="2" t="s">
        <v>142</v>
      </c>
      <c r="I12" s="5">
        <v>0.02</v>
      </c>
      <c r="J12" s="2">
        <f t="shared" si="0"/>
        <v>1</v>
      </c>
      <c r="K12" s="2">
        <f t="shared" si="1"/>
        <v>18</v>
      </c>
      <c r="L12" s="2"/>
      <c r="M12" s="2" t="s">
        <v>159</v>
      </c>
      <c r="N12" s="13"/>
      <c r="O12" s="2"/>
      <c r="P12" s="2"/>
      <c r="Q12" s="2" t="str">
        <f t="shared" si="2"/>
        <v>HIGH</v>
      </c>
      <c r="R12" s="2"/>
      <c r="S12" s="2"/>
      <c r="T12" s="2"/>
      <c r="U12" s="2"/>
    </row>
    <row r="13" spans="1:21" ht="30">
      <c r="A13" s="2" t="s">
        <v>22</v>
      </c>
      <c r="B13" s="2" t="s">
        <v>72</v>
      </c>
      <c r="C13" s="3">
        <v>46093</v>
      </c>
      <c r="D13" s="4">
        <v>0.51388888888888895</v>
      </c>
      <c r="E13" s="2" t="s">
        <v>113</v>
      </c>
      <c r="F13" s="2">
        <v>30</v>
      </c>
      <c r="G13" s="2">
        <v>15</v>
      </c>
      <c r="H13" s="2" t="s">
        <v>141</v>
      </c>
      <c r="I13" s="5">
        <v>0.01</v>
      </c>
      <c r="J13" s="2">
        <f t="shared" si="0"/>
        <v>0.15</v>
      </c>
      <c r="K13" s="2">
        <f t="shared" si="1"/>
        <v>18</v>
      </c>
      <c r="L13" s="2"/>
      <c r="M13" s="2" t="s">
        <v>160</v>
      </c>
      <c r="N13" s="13"/>
      <c r="O13" s="2"/>
      <c r="P13" s="2"/>
      <c r="Q13" s="2" t="str">
        <f t="shared" si="2"/>
        <v>HIGH</v>
      </c>
      <c r="R13" s="2"/>
      <c r="S13" s="2"/>
      <c r="T13" s="2"/>
      <c r="U13" s="2"/>
    </row>
    <row r="14" spans="1:21" ht="30">
      <c r="A14" s="2" t="s">
        <v>23</v>
      </c>
      <c r="B14" s="2" t="s">
        <v>73</v>
      </c>
      <c r="C14" s="3">
        <v>46094</v>
      </c>
      <c r="D14" s="4">
        <v>0.55555555555555602</v>
      </c>
      <c r="E14" s="2" t="s">
        <v>113</v>
      </c>
      <c r="F14" s="2">
        <v>30</v>
      </c>
      <c r="G14" s="2">
        <v>15</v>
      </c>
      <c r="H14" s="2" t="s">
        <v>141</v>
      </c>
      <c r="I14" s="5">
        <v>0.01</v>
      </c>
      <c r="J14" s="2">
        <f t="shared" si="0"/>
        <v>0.15</v>
      </c>
      <c r="K14" s="2">
        <f t="shared" si="1"/>
        <v>18</v>
      </c>
      <c r="L14" s="2"/>
      <c r="M14" s="2" t="s">
        <v>161</v>
      </c>
      <c r="N14" s="13"/>
      <c r="O14" s="2"/>
      <c r="P14" s="2"/>
      <c r="Q14" s="2" t="str">
        <f t="shared" si="2"/>
        <v>HIGH</v>
      </c>
      <c r="R14" s="2"/>
      <c r="S14" s="2"/>
      <c r="T14" s="2"/>
      <c r="U14" s="2"/>
    </row>
    <row r="15" spans="1:21" ht="45">
      <c r="A15" s="2" t="s">
        <v>24</v>
      </c>
      <c r="B15" s="2" t="s">
        <v>75</v>
      </c>
      <c r="C15" s="3">
        <v>46095</v>
      </c>
      <c r="D15" s="4">
        <v>0.625</v>
      </c>
      <c r="E15" s="2" t="s">
        <v>116</v>
      </c>
      <c r="F15" s="2">
        <v>30</v>
      </c>
      <c r="G15" s="2">
        <v>18</v>
      </c>
      <c r="H15" s="2" t="s">
        <v>141</v>
      </c>
      <c r="I15" s="5">
        <v>0.01</v>
      </c>
      <c r="J15" s="2">
        <f t="shared" si="0"/>
        <v>0.18</v>
      </c>
      <c r="K15" s="2">
        <f t="shared" si="1"/>
        <v>18</v>
      </c>
      <c r="L15" s="2"/>
      <c r="M15" s="2" t="s">
        <v>162</v>
      </c>
      <c r="N15" s="13"/>
      <c r="O15" s="2"/>
      <c r="P15" s="2"/>
      <c r="Q15" s="2" t="str">
        <f t="shared" si="2"/>
        <v>HIGH</v>
      </c>
      <c r="R15" s="2"/>
      <c r="S15" s="2"/>
      <c r="T15" s="2"/>
      <c r="U15" s="2"/>
    </row>
    <row r="16" spans="1:21" ht="45">
      <c r="A16" s="2" t="s">
        <v>25</v>
      </c>
      <c r="B16" s="2" t="s">
        <v>74</v>
      </c>
      <c r="C16" s="3">
        <v>46096</v>
      </c>
      <c r="D16" s="4">
        <v>0.66666666666666696</v>
      </c>
      <c r="E16" s="2" t="s">
        <v>116</v>
      </c>
      <c r="F16" s="2">
        <v>30</v>
      </c>
      <c r="G16" s="2">
        <v>18</v>
      </c>
      <c r="H16" s="2" t="s">
        <v>141</v>
      </c>
      <c r="I16" s="5">
        <v>0.01</v>
      </c>
      <c r="J16" s="2">
        <f t="shared" si="0"/>
        <v>0.18</v>
      </c>
      <c r="K16" s="2">
        <f t="shared" si="1"/>
        <v>18</v>
      </c>
      <c r="L16" s="2"/>
      <c r="M16" s="2" t="s">
        <v>163</v>
      </c>
      <c r="N16" s="13"/>
      <c r="O16" s="2"/>
      <c r="P16" s="2"/>
      <c r="Q16" s="2" t="str">
        <f t="shared" si="2"/>
        <v>HIGH</v>
      </c>
      <c r="R16" s="2"/>
      <c r="S16" s="2"/>
      <c r="T16" s="2"/>
      <c r="U16" s="2"/>
    </row>
    <row r="17" spans="1:21">
      <c r="A17" s="2" t="s">
        <v>26</v>
      </c>
      <c r="B17" s="2" t="s">
        <v>76</v>
      </c>
      <c r="C17" s="3">
        <v>46097</v>
      </c>
      <c r="D17" s="4">
        <v>0.70833333333333304</v>
      </c>
      <c r="E17" s="2" t="s">
        <v>117</v>
      </c>
      <c r="F17" s="2">
        <v>10</v>
      </c>
      <c r="G17" s="2">
        <v>15</v>
      </c>
      <c r="H17" s="2" t="s">
        <v>143</v>
      </c>
      <c r="I17" s="5">
        <v>0.03</v>
      </c>
      <c r="J17" s="2">
        <f t="shared" si="0"/>
        <v>0.44999999999999996</v>
      </c>
      <c r="K17" s="2">
        <f t="shared" si="1"/>
        <v>18</v>
      </c>
      <c r="L17" s="2"/>
      <c r="M17" s="2" t="s">
        <v>164</v>
      </c>
      <c r="N17" s="13"/>
      <c r="O17" s="2"/>
      <c r="P17" s="2"/>
      <c r="Q17" s="2" t="str">
        <f t="shared" si="2"/>
        <v>HIGH</v>
      </c>
      <c r="R17" s="2"/>
      <c r="S17" s="2"/>
      <c r="T17" s="2"/>
      <c r="U17" s="2"/>
    </row>
    <row r="18" spans="1:21">
      <c r="A18" s="2" t="s">
        <v>27</v>
      </c>
      <c r="B18" s="2" t="s">
        <v>77</v>
      </c>
      <c r="C18" s="3">
        <v>46098</v>
      </c>
      <c r="D18" s="4">
        <v>0.75</v>
      </c>
      <c r="E18" s="2" t="s">
        <v>118</v>
      </c>
      <c r="F18" s="2">
        <v>10</v>
      </c>
      <c r="G18" s="2">
        <v>20</v>
      </c>
      <c r="H18" s="2" t="s">
        <v>143</v>
      </c>
      <c r="I18" s="5">
        <v>0.03</v>
      </c>
      <c r="J18" s="2">
        <f t="shared" si="0"/>
        <v>0.6</v>
      </c>
      <c r="K18" s="2">
        <f t="shared" si="1"/>
        <v>18</v>
      </c>
      <c r="L18" s="2"/>
      <c r="M18" s="2" t="s">
        <v>165</v>
      </c>
      <c r="N18" s="13"/>
      <c r="O18" s="2"/>
      <c r="P18" s="2"/>
      <c r="Q18" s="2" t="str">
        <f t="shared" si="2"/>
        <v>HIGH</v>
      </c>
      <c r="R18" s="2"/>
      <c r="S18" s="2"/>
      <c r="T18" s="2"/>
      <c r="U18" s="2"/>
    </row>
    <row r="19" spans="1:21" ht="30">
      <c r="A19" s="2" t="s">
        <v>28</v>
      </c>
      <c r="B19" s="2" t="s">
        <v>78</v>
      </c>
      <c r="C19" s="3">
        <v>46099</v>
      </c>
      <c r="D19" s="4">
        <v>0.79166666666666696</v>
      </c>
      <c r="E19" s="2" t="s">
        <v>119</v>
      </c>
      <c r="F19" s="2">
        <v>10</v>
      </c>
      <c r="G19" s="2">
        <v>18</v>
      </c>
      <c r="H19" s="2" t="s">
        <v>143</v>
      </c>
      <c r="I19" s="5">
        <v>0.03</v>
      </c>
      <c r="J19" s="2">
        <f t="shared" si="0"/>
        <v>0.54</v>
      </c>
      <c r="K19" s="2">
        <f t="shared" si="1"/>
        <v>18</v>
      </c>
      <c r="L19" s="2"/>
      <c r="M19" s="2" t="s">
        <v>166</v>
      </c>
      <c r="N19" s="13"/>
      <c r="O19" s="2"/>
      <c r="P19" s="2"/>
      <c r="Q19" s="2" t="str">
        <f t="shared" si="2"/>
        <v>HIGH</v>
      </c>
      <c r="R19" s="2"/>
      <c r="S19" s="2"/>
      <c r="T19" s="2"/>
      <c r="U19" s="2"/>
    </row>
    <row r="20" spans="1:21">
      <c r="A20" s="2" t="s">
        <v>29</v>
      </c>
      <c r="B20" s="2" t="s">
        <v>79</v>
      </c>
      <c r="C20" s="3">
        <v>46100</v>
      </c>
      <c r="D20" s="4">
        <v>0.83333333333333304</v>
      </c>
      <c r="E20" s="2" t="s">
        <v>120</v>
      </c>
      <c r="F20" s="2">
        <v>10</v>
      </c>
      <c r="G20" s="2">
        <v>30</v>
      </c>
      <c r="H20" s="2" t="s">
        <v>143</v>
      </c>
      <c r="I20" s="5">
        <v>0.03</v>
      </c>
      <c r="J20" s="2">
        <f t="shared" si="0"/>
        <v>0.89999999999999991</v>
      </c>
      <c r="K20" s="2">
        <f t="shared" si="1"/>
        <v>18</v>
      </c>
      <c r="L20" s="2"/>
      <c r="M20" s="2" t="s">
        <v>167</v>
      </c>
      <c r="N20" s="13"/>
      <c r="O20" s="2"/>
      <c r="P20" s="2"/>
      <c r="Q20" s="2" t="str">
        <f t="shared" si="2"/>
        <v>HIGH</v>
      </c>
      <c r="R20" s="2"/>
      <c r="S20" s="2"/>
      <c r="T20" s="2"/>
      <c r="U20" s="2"/>
    </row>
    <row r="21" spans="1:21" ht="45">
      <c r="A21" s="2" t="s">
        <v>30</v>
      </c>
      <c r="B21" s="2" t="s">
        <v>80</v>
      </c>
      <c r="C21" s="3">
        <v>46101</v>
      </c>
      <c r="D21" s="4">
        <v>0.29166666666666669</v>
      </c>
      <c r="E21" s="2" t="s">
        <v>121</v>
      </c>
      <c r="F21" s="2">
        <v>16</v>
      </c>
      <c r="G21" s="2">
        <v>50</v>
      </c>
      <c r="H21" s="2" t="s">
        <v>145</v>
      </c>
      <c r="I21" s="5">
        <v>0.06</v>
      </c>
      <c r="J21" s="2">
        <f t="shared" si="0"/>
        <v>3</v>
      </c>
      <c r="K21" s="2">
        <f t="shared" si="1"/>
        <v>18</v>
      </c>
      <c r="L21" s="2"/>
      <c r="M21" s="2" t="s">
        <v>158</v>
      </c>
      <c r="N21" s="13"/>
      <c r="O21" s="2"/>
      <c r="P21" s="2"/>
      <c r="Q21" s="2" t="str">
        <f t="shared" si="2"/>
        <v>HIGH</v>
      </c>
      <c r="R21" s="2"/>
      <c r="S21" s="2"/>
      <c r="T21" s="2"/>
      <c r="U21" s="2"/>
    </row>
    <row r="22" spans="1:21" ht="30">
      <c r="A22" s="2" t="s">
        <v>31</v>
      </c>
      <c r="B22" s="2" t="s">
        <v>81</v>
      </c>
      <c r="C22" s="3">
        <v>46102</v>
      </c>
      <c r="D22" s="4">
        <v>0.33333333333333298</v>
      </c>
      <c r="E22" s="2" t="s">
        <v>122</v>
      </c>
      <c r="F22" s="2">
        <v>16</v>
      </c>
      <c r="G22" s="2">
        <v>20</v>
      </c>
      <c r="H22" s="2" t="s">
        <v>145</v>
      </c>
      <c r="I22" s="5">
        <v>0.06</v>
      </c>
      <c r="J22" s="2">
        <f t="shared" si="0"/>
        <v>1.2</v>
      </c>
      <c r="K22" s="2">
        <f t="shared" si="1"/>
        <v>18</v>
      </c>
      <c r="L22" s="2"/>
      <c r="M22" s="2" t="s">
        <v>159</v>
      </c>
      <c r="N22" s="13"/>
      <c r="O22" s="2"/>
      <c r="P22" s="2"/>
      <c r="Q22" s="2" t="str">
        <f t="shared" si="2"/>
        <v>HIGH</v>
      </c>
      <c r="R22" s="2"/>
      <c r="S22" s="2"/>
      <c r="T22" s="2"/>
      <c r="U22" s="2"/>
    </row>
    <row r="23" spans="1:21" ht="30">
      <c r="A23" s="2" t="s">
        <v>32</v>
      </c>
      <c r="B23" s="2" t="s">
        <v>82</v>
      </c>
      <c r="C23" s="3">
        <v>46103</v>
      </c>
      <c r="D23" s="4">
        <v>0.375</v>
      </c>
      <c r="E23" s="2" t="s">
        <v>110</v>
      </c>
      <c r="F23" s="2">
        <v>40</v>
      </c>
      <c r="G23" s="2">
        <v>30</v>
      </c>
      <c r="H23" s="2" t="s">
        <v>142</v>
      </c>
      <c r="I23" s="5">
        <v>0.04</v>
      </c>
      <c r="J23" s="2">
        <f t="shared" si="0"/>
        <v>1.2</v>
      </c>
      <c r="K23" s="2">
        <f t="shared" si="1"/>
        <v>18</v>
      </c>
      <c r="L23" s="2"/>
      <c r="M23" s="2" t="s">
        <v>168</v>
      </c>
      <c r="N23" s="13"/>
      <c r="O23" s="2"/>
      <c r="P23" s="2"/>
      <c r="Q23" s="2" t="str">
        <f t="shared" si="2"/>
        <v>HIGH</v>
      </c>
      <c r="R23" s="2"/>
      <c r="S23" s="2"/>
      <c r="T23" s="2"/>
      <c r="U23" s="2"/>
    </row>
    <row r="24" spans="1:21">
      <c r="A24" s="2" t="s">
        <v>33</v>
      </c>
      <c r="B24" s="2" t="s">
        <v>83</v>
      </c>
      <c r="C24" s="3">
        <v>46104</v>
      </c>
      <c r="D24" s="4">
        <v>0.41666666666666702</v>
      </c>
      <c r="E24" s="2" t="s">
        <v>123</v>
      </c>
      <c r="F24" s="2">
        <v>12</v>
      </c>
      <c r="G24" s="2">
        <v>15</v>
      </c>
      <c r="H24" s="2" t="s">
        <v>143</v>
      </c>
      <c r="I24" s="5">
        <v>7.0000000000000007E-2</v>
      </c>
      <c r="J24" s="2">
        <f t="shared" si="0"/>
        <v>1.05</v>
      </c>
      <c r="K24" s="2">
        <f t="shared" si="1"/>
        <v>18</v>
      </c>
      <c r="L24" s="2"/>
      <c r="M24" s="2" t="s">
        <v>168</v>
      </c>
      <c r="N24" s="13"/>
      <c r="O24" s="2"/>
      <c r="P24" s="2"/>
      <c r="Q24" s="2" t="str">
        <f t="shared" si="2"/>
        <v>HIGH</v>
      </c>
      <c r="R24" s="2"/>
      <c r="S24" s="2"/>
      <c r="T24" s="2"/>
      <c r="U24" s="2"/>
    </row>
    <row r="25" spans="1:21" ht="30">
      <c r="A25" s="2" t="s">
        <v>34</v>
      </c>
      <c r="B25" s="2" t="s">
        <v>84</v>
      </c>
      <c r="C25" s="3">
        <v>46105</v>
      </c>
      <c r="D25" s="4">
        <v>0.45833333333333298</v>
      </c>
      <c r="E25" s="2" t="s">
        <v>124</v>
      </c>
      <c r="F25" s="2">
        <v>12</v>
      </c>
      <c r="G25" s="2">
        <v>16</v>
      </c>
      <c r="H25" s="2" t="s">
        <v>143</v>
      </c>
      <c r="I25" s="5">
        <v>7.0000000000000007E-2</v>
      </c>
      <c r="J25" s="2">
        <f t="shared" si="0"/>
        <v>1.1200000000000001</v>
      </c>
      <c r="K25" s="2">
        <f t="shared" si="1"/>
        <v>18</v>
      </c>
      <c r="L25" s="2"/>
      <c r="M25" s="2" t="s">
        <v>169</v>
      </c>
      <c r="N25" s="13"/>
      <c r="O25" s="2"/>
      <c r="P25" s="2"/>
      <c r="Q25" s="2" t="str">
        <f t="shared" si="2"/>
        <v>HIGH</v>
      </c>
      <c r="R25" s="2"/>
      <c r="S25" s="2"/>
      <c r="T25" s="2"/>
      <c r="U25" s="2"/>
    </row>
    <row r="26" spans="1:21">
      <c r="A26" s="2" t="s">
        <v>35</v>
      </c>
      <c r="B26" s="2" t="s">
        <v>85</v>
      </c>
      <c r="C26" s="3">
        <v>46106</v>
      </c>
      <c r="D26" s="4">
        <v>0.25</v>
      </c>
      <c r="E26" s="2" t="s">
        <v>125</v>
      </c>
      <c r="F26" s="2">
        <v>12</v>
      </c>
      <c r="G26" s="2">
        <v>20</v>
      </c>
      <c r="H26" s="2" t="s">
        <v>143</v>
      </c>
      <c r="I26" s="5">
        <v>7.0000000000000007E-2</v>
      </c>
      <c r="J26" s="2">
        <f t="shared" si="0"/>
        <v>1.4000000000000001</v>
      </c>
      <c r="K26" s="2">
        <f t="shared" si="1"/>
        <v>18</v>
      </c>
      <c r="L26" s="2"/>
      <c r="M26" s="2" t="s">
        <v>170</v>
      </c>
      <c r="N26" s="13"/>
      <c r="O26" s="2"/>
      <c r="P26" s="2"/>
      <c r="Q26" s="2" t="str">
        <f t="shared" si="2"/>
        <v>HIGH</v>
      </c>
      <c r="R26" s="2"/>
      <c r="S26" s="2"/>
      <c r="T26" s="2"/>
      <c r="U26" s="2"/>
    </row>
    <row r="27" spans="1:21">
      <c r="A27" s="2" t="s">
        <v>36</v>
      </c>
      <c r="B27" s="2" t="s">
        <v>86</v>
      </c>
      <c r="C27" s="3">
        <v>46107</v>
      </c>
      <c r="D27" s="4">
        <v>0.29166666666666702</v>
      </c>
      <c r="E27" s="2" t="s">
        <v>126</v>
      </c>
      <c r="F27" s="2">
        <v>25</v>
      </c>
      <c r="G27" s="2">
        <v>30</v>
      </c>
      <c r="H27" s="2" t="s">
        <v>144</v>
      </c>
      <c r="I27" s="5">
        <v>0</v>
      </c>
      <c r="J27" s="2">
        <f t="shared" si="0"/>
        <v>0</v>
      </c>
      <c r="K27" s="2">
        <f t="shared" si="1"/>
        <v>18</v>
      </c>
      <c r="L27" s="2"/>
      <c r="M27" s="2" t="s">
        <v>151</v>
      </c>
      <c r="N27" s="13"/>
      <c r="O27" s="2"/>
      <c r="P27" s="2"/>
      <c r="Q27" s="2" t="str">
        <f t="shared" si="2"/>
        <v>HIGH</v>
      </c>
      <c r="R27" s="2"/>
      <c r="S27" s="2"/>
      <c r="T27" s="2"/>
      <c r="U27" s="2"/>
    </row>
    <row r="28" spans="1:21" ht="30">
      <c r="A28" s="2" t="s">
        <v>37</v>
      </c>
      <c r="B28" s="2" t="s">
        <v>87</v>
      </c>
      <c r="C28" s="3">
        <v>46108</v>
      </c>
      <c r="D28" s="4">
        <v>0.33333333333333298</v>
      </c>
      <c r="E28" s="2" t="s">
        <v>126</v>
      </c>
      <c r="F28" s="2">
        <v>25</v>
      </c>
      <c r="G28" s="2">
        <v>30</v>
      </c>
      <c r="H28" s="2" t="s">
        <v>144</v>
      </c>
      <c r="I28" s="5">
        <v>0</v>
      </c>
      <c r="J28" s="2">
        <f t="shared" si="0"/>
        <v>0</v>
      </c>
      <c r="K28" s="2">
        <f t="shared" si="1"/>
        <v>18</v>
      </c>
      <c r="L28" s="2"/>
      <c r="M28" s="2" t="s">
        <v>152</v>
      </c>
      <c r="N28" s="13"/>
      <c r="O28" s="2"/>
      <c r="P28" s="2"/>
      <c r="Q28" s="2" t="str">
        <f t="shared" si="2"/>
        <v>HIGH</v>
      </c>
      <c r="R28" s="2"/>
      <c r="S28" s="2"/>
      <c r="T28" s="2"/>
      <c r="U28" s="2"/>
    </row>
    <row r="29" spans="1:21">
      <c r="A29" s="2" t="s">
        <v>38</v>
      </c>
      <c r="B29" s="2" t="s">
        <v>88</v>
      </c>
      <c r="C29" s="3">
        <v>46109</v>
      </c>
      <c r="D29" s="4">
        <v>0.375</v>
      </c>
      <c r="E29" s="2" t="s">
        <v>126</v>
      </c>
      <c r="F29" s="2">
        <v>25</v>
      </c>
      <c r="G29" s="2">
        <v>30</v>
      </c>
      <c r="H29" s="2" t="s">
        <v>144</v>
      </c>
      <c r="I29" s="5">
        <v>0</v>
      </c>
      <c r="J29" s="2">
        <f t="shared" si="0"/>
        <v>0</v>
      </c>
      <c r="K29" s="2">
        <f t="shared" si="1"/>
        <v>18</v>
      </c>
      <c r="L29" s="2"/>
      <c r="M29" s="2" t="s">
        <v>153</v>
      </c>
      <c r="N29" s="13"/>
      <c r="O29" s="2"/>
      <c r="P29" s="2"/>
      <c r="Q29" s="2" t="str">
        <f t="shared" si="2"/>
        <v>HIGH</v>
      </c>
      <c r="R29" s="2"/>
      <c r="S29" s="2"/>
      <c r="T29" s="2"/>
      <c r="U29" s="2"/>
    </row>
    <row r="30" spans="1:21">
      <c r="A30" s="2" t="s">
        <v>39</v>
      </c>
      <c r="B30" s="2" t="s">
        <v>89</v>
      </c>
      <c r="C30" s="3">
        <v>46110</v>
      </c>
      <c r="D30" s="4">
        <v>0.41666666666666702</v>
      </c>
      <c r="E30" s="2" t="s">
        <v>126</v>
      </c>
      <c r="F30" s="2">
        <v>25</v>
      </c>
      <c r="G30" s="2">
        <v>30</v>
      </c>
      <c r="H30" s="2" t="s">
        <v>144</v>
      </c>
      <c r="I30" s="5">
        <v>0</v>
      </c>
      <c r="J30" s="2">
        <f t="shared" si="0"/>
        <v>0</v>
      </c>
      <c r="K30" s="2">
        <f t="shared" si="1"/>
        <v>18</v>
      </c>
      <c r="L30" s="2"/>
      <c r="M30" s="2"/>
      <c r="N30" s="13"/>
      <c r="O30" s="2"/>
      <c r="P30" s="2"/>
      <c r="Q30" s="2" t="str">
        <f t="shared" si="2"/>
        <v>HIGH</v>
      </c>
      <c r="R30" s="2"/>
      <c r="S30" s="2"/>
      <c r="T30" s="2"/>
      <c r="U30" s="2"/>
    </row>
    <row r="31" spans="1:21" ht="30">
      <c r="A31" s="2" t="s">
        <v>40</v>
      </c>
      <c r="B31" s="2" t="s">
        <v>90</v>
      </c>
      <c r="C31" s="3">
        <v>46111</v>
      </c>
      <c r="D31" s="4">
        <v>0.45833333333333298</v>
      </c>
      <c r="E31" s="2" t="s">
        <v>127</v>
      </c>
      <c r="F31" s="2">
        <v>25</v>
      </c>
      <c r="G31" s="2">
        <v>20</v>
      </c>
      <c r="H31" s="2" t="s">
        <v>144</v>
      </c>
      <c r="I31" s="5">
        <v>0</v>
      </c>
      <c r="J31" s="2">
        <f t="shared" si="0"/>
        <v>0</v>
      </c>
      <c r="K31" s="2">
        <f t="shared" si="1"/>
        <v>18</v>
      </c>
      <c r="L31" s="2"/>
      <c r="M31" s="2" t="s">
        <v>154</v>
      </c>
      <c r="N31" s="13"/>
      <c r="O31" s="2"/>
      <c r="P31" s="2"/>
      <c r="Q31" s="2" t="str">
        <f t="shared" si="2"/>
        <v>HIGH</v>
      </c>
      <c r="R31" s="2"/>
      <c r="S31" s="2"/>
      <c r="T31" s="2"/>
      <c r="U31" s="2"/>
    </row>
    <row r="32" spans="1:21" ht="30">
      <c r="A32" s="2" t="s">
        <v>41</v>
      </c>
      <c r="B32" s="2" t="s">
        <v>91</v>
      </c>
      <c r="C32" s="3">
        <v>46112</v>
      </c>
      <c r="D32" s="4">
        <v>0.5</v>
      </c>
      <c r="E32" s="2" t="s">
        <v>128</v>
      </c>
      <c r="F32" s="2">
        <v>25</v>
      </c>
      <c r="G32" s="2">
        <v>15</v>
      </c>
      <c r="H32" s="2" t="s">
        <v>144</v>
      </c>
      <c r="I32" s="5">
        <v>0</v>
      </c>
      <c r="J32" s="2">
        <f t="shared" si="0"/>
        <v>0</v>
      </c>
      <c r="K32" s="2">
        <f t="shared" si="1"/>
        <v>18</v>
      </c>
      <c r="L32" s="2"/>
      <c r="M32" s="2" t="s">
        <v>155</v>
      </c>
      <c r="N32" s="13"/>
      <c r="O32" s="2"/>
      <c r="P32" s="2"/>
      <c r="Q32" s="2" t="str">
        <f t="shared" si="2"/>
        <v>HIGH</v>
      </c>
      <c r="R32" s="2"/>
      <c r="S32" s="2"/>
      <c r="T32" s="2"/>
      <c r="U32" s="2"/>
    </row>
    <row r="33" spans="1:21" ht="30">
      <c r="A33" s="2" t="s">
        <v>42</v>
      </c>
      <c r="B33" s="2" t="s">
        <v>92</v>
      </c>
      <c r="C33" s="3">
        <v>46113</v>
      </c>
      <c r="D33" s="4">
        <v>0.125</v>
      </c>
      <c r="E33" s="2" t="s">
        <v>128</v>
      </c>
      <c r="F33" s="2">
        <v>25</v>
      </c>
      <c r="G33" s="2">
        <v>15</v>
      </c>
      <c r="H33" s="2" t="s">
        <v>144</v>
      </c>
      <c r="I33" s="5">
        <v>0</v>
      </c>
      <c r="J33" s="2">
        <f t="shared" si="0"/>
        <v>0</v>
      </c>
      <c r="K33" s="2">
        <f t="shared" si="1"/>
        <v>18</v>
      </c>
      <c r="L33" s="2"/>
      <c r="M33" s="2" t="s">
        <v>156</v>
      </c>
      <c r="N33" s="13"/>
      <c r="O33" s="2"/>
      <c r="P33" s="2"/>
      <c r="Q33" s="2" t="str">
        <f t="shared" si="2"/>
        <v>HIGH</v>
      </c>
      <c r="R33" s="2"/>
      <c r="S33" s="2"/>
      <c r="T33" s="2"/>
      <c r="U33" s="2"/>
    </row>
    <row r="34" spans="1:21" ht="30">
      <c r="A34" s="2" t="s">
        <v>43</v>
      </c>
      <c r="B34" s="2" t="s">
        <v>93</v>
      </c>
      <c r="C34" s="3">
        <v>46114</v>
      </c>
      <c r="D34" s="4">
        <v>0.16666666666666699</v>
      </c>
      <c r="E34" s="2" t="s">
        <v>129</v>
      </c>
      <c r="F34" s="2">
        <v>23</v>
      </c>
      <c r="G34" s="2">
        <v>16</v>
      </c>
      <c r="H34" s="2" t="s">
        <v>107</v>
      </c>
      <c r="I34" s="5">
        <v>0.02</v>
      </c>
      <c r="J34" s="2">
        <f t="shared" si="0"/>
        <v>0.32</v>
      </c>
      <c r="K34" s="2">
        <f t="shared" si="1"/>
        <v>18</v>
      </c>
      <c r="L34" s="2"/>
      <c r="M34" s="2" t="s">
        <v>157</v>
      </c>
      <c r="N34" s="13"/>
      <c r="O34" s="2"/>
      <c r="P34" s="2"/>
      <c r="Q34" s="2" t="str">
        <f t="shared" si="2"/>
        <v>HIGH</v>
      </c>
      <c r="R34" s="2"/>
      <c r="S34" s="2"/>
      <c r="T34" s="2"/>
      <c r="U34" s="2"/>
    </row>
    <row r="35" spans="1:21" ht="30">
      <c r="A35" s="2" t="s">
        <v>44</v>
      </c>
      <c r="B35" s="2" t="s">
        <v>94</v>
      </c>
      <c r="C35" s="3">
        <v>46115</v>
      </c>
      <c r="D35" s="4">
        <v>0.20833333333333301</v>
      </c>
      <c r="E35" s="2" t="s">
        <v>129</v>
      </c>
      <c r="F35" s="2">
        <v>23</v>
      </c>
      <c r="G35" s="2">
        <v>16</v>
      </c>
      <c r="H35" s="2" t="s">
        <v>107</v>
      </c>
      <c r="I35" s="5">
        <v>0.02</v>
      </c>
      <c r="J35" s="2">
        <f t="shared" si="0"/>
        <v>0.32</v>
      </c>
      <c r="K35" s="2">
        <f t="shared" si="1"/>
        <v>18</v>
      </c>
      <c r="L35" s="2"/>
      <c r="M35" s="2" t="s">
        <v>158</v>
      </c>
      <c r="N35" s="13"/>
      <c r="O35" s="2"/>
      <c r="P35" s="2"/>
      <c r="Q35" s="2" t="str">
        <f t="shared" si="2"/>
        <v>HIGH</v>
      </c>
      <c r="R35" s="2"/>
      <c r="S35" s="2"/>
      <c r="T35" s="2"/>
      <c r="U35" s="2"/>
    </row>
    <row r="36" spans="1:21" ht="30">
      <c r="A36" s="2" t="s">
        <v>45</v>
      </c>
      <c r="B36" s="2" t="s">
        <v>95</v>
      </c>
      <c r="C36" s="3">
        <v>46116</v>
      </c>
      <c r="D36" s="4">
        <v>0.25</v>
      </c>
      <c r="E36" s="2" t="s">
        <v>130</v>
      </c>
      <c r="F36" s="2">
        <v>14</v>
      </c>
      <c r="G36" s="2">
        <v>32</v>
      </c>
      <c r="H36" s="2" t="s">
        <v>142</v>
      </c>
      <c r="I36" s="5">
        <v>0.08</v>
      </c>
      <c r="J36" s="2">
        <f t="shared" si="0"/>
        <v>2.56</v>
      </c>
      <c r="K36" s="2">
        <f t="shared" si="1"/>
        <v>18</v>
      </c>
      <c r="L36" s="2"/>
      <c r="M36" s="2" t="s">
        <v>171</v>
      </c>
      <c r="N36" s="13"/>
      <c r="O36" s="2"/>
      <c r="P36" s="2"/>
      <c r="Q36" s="2" t="str">
        <f t="shared" si="2"/>
        <v>HIGH</v>
      </c>
      <c r="R36" s="2"/>
      <c r="S36" s="2"/>
      <c r="T36" s="2"/>
      <c r="U36" s="2"/>
    </row>
    <row r="37" spans="1:21" ht="30">
      <c r="A37" s="2" t="s">
        <v>46</v>
      </c>
      <c r="B37" s="2" t="s">
        <v>96</v>
      </c>
      <c r="C37" s="3">
        <v>46117</v>
      </c>
      <c r="D37" s="4">
        <v>0.11458333333333333</v>
      </c>
      <c r="E37" s="2" t="s">
        <v>130</v>
      </c>
      <c r="F37" s="2">
        <v>14</v>
      </c>
      <c r="G37" s="2">
        <v>32</v>
      </c>
      <c r="H37" s="2" t="s">
        <v>142</v>
      </c>
      <c r="I37" s="5">
        <v>0.08</v>
      </c>
      <c r="J37" s="2">
        <f t="shared" si="0"/>
        <v>2.56</v>
      </c>
      <c r="K37" s="2">
        <f t="shared" si="1"/>
        <v>18</v>
      </c>
      <c r="L37" s="2"/>
      <c r="M37" s="2" t="s">
        <v>160</v>
      </c>
      <c r="N37" s="13"/>
      <c r="O37" s="2"/>
      <c r="P37" s="2"/>
      <c r="Q37" s="2" t="str">
        <f t="shared" si="2"/>
        <v>HIGH</v>
      </c>
      <c r="R37" s="2"/>
      <c r="S37" s="2"/>
      <c r="T37" s="2"/>
      <c r="U37" s="2"/>
    </row>
    <row r="38" spans="1:21" ht="30">
      <c r="A38" s="2" t="s">
        <v>47</v>
      </c>
      <c r="B38" s="2" t="s">
        <v>97</v>
      </c>
      <c r="C38" s="3">
        <v>46118</v>
      </c>
      <c r="D38" s="4">
        <v>0.15625</v>
      </c>
      <c r="E38" s="2" t="s">
        <v>131</v>
      </c>
      <c r="F38" s="2">
        <v>14</v>
      </c>
      <c r="G38" s="2">
        <v>18</v>
      </c>
      <c r="H38" s="2" t="s">
        <v>142</v>
      </c>
      <c r="I38" s="5">
        <v>0.08</v>
      </c>
      <c r="J38" s="2">
        <f t="shared" si="0"/>
        <v>1.44</v>
      </c>
      <c r="K38" s="2">
        <f t="shared" si="1"/>
        <v>18</v>
      </c>
      <c r="L38" s="2"/>
      <c r="M38" s="2" t="s">
        <v>160</v>
      </c>
      <c r="N38" s="13"/>
      <c r="O38" s="2"/>
      <c r="P38" s="2"/>
      <c r="Q38" s="2" t="str">
        <f t="shared" si="2"/>
        <v>HIGH</v>
      </c>
      <c r="R38" s="2"/>
      <c r="S38" s="2"/>
      <c r="T38" s="2"/>
      <c r="U38" s="2"/>
    </row>
    <row r="39" spans="1:21" ht="30">
      <c r="A39" s="2" t="s">
        <v>48</v>
      </c>
      <c r="B39" s="2" t="s">
        <v>98</v>
      </c>
      <c r="C39" s="3">
        <v>46119</v>
      </c>
      <c r="D39" s="4">
        <v>0.19791666666666699</v>
      </c>
      <c r="E39" s="2" t="s">
        <v>132</v>
      </c>
      <c r="F39" s="2">
        <v>50</v>
      </c>
      <c r="G39" s="2">
        <v>15</v>
      </c>
      <c r="H39" s="2" t="s">
        <v>142</v>
      </c>
      <c r="I39" s="5">
        <v>0.1</v>
      </c>
      <c r="J39" s="2">
        <f t="shared" si="0"/>
        <v>1.5</v>
      </c>
      <c r="K39" s="2">
        <f t="shared" si="1"/>
        <v>18</v>
      </c>
      <c r="L39" s="2"/>
      <c r="M39" s="2" t="s">
        <v>161</v>
      </c>
      <c r="N39" s="13"/>
      <c r="O39" s="2"/>
      <c r="P39" s="2"/>
      <c r="Q39" s="2" t="str">
        <f t="shared" si="2"/>
        <v>HIGH</v>
      </c>
      <c r="R39" s="2"/>
      <c r="S39" s="2"/>
      <c r="T39" s="2"/>
      <c r="U39" s="2"/>
    </row>
    <row r="40" spans="1:21" ht="30">
      <c r="A40" s="2" t="s">
        <v>49</v>
      </c>
      <c r="B40" s="2" t="s">
        <v>99</v>
      </c>
      <c r="C40" s="3">
        <v>46120</v>
      </c>
      <c r="D40" s="4">
        <v>0.23958333333333301</v>
      </c>
      <c r="E40" s="2" t="s">
        <v>132</v>
      </c>
      <c r="F40" s="2">
        <v>50</v>
      </c>
      <c r="G40" s="2">
        <v>15</v>
      </c>
      <c r="H40" s="2" t="s">
        <v>142</v>
      </c>
      <c r="I40" s="5">
        <v>0.1</v>
      </c>
      <c r="J40" s="2">
        <f t="shared" si="0"/>
        <v>1.5</v>
      </c>
      <c r="K40" s="2">
        <f t="shared" si="1"/>
        <v>18</v>
      </c>
      <c r="L40" s="2"/>
      <c r="M40" s="2" t="s">
        <v>172</v>
      </c>
      <c r="N40" s="13"/>
      <c r="O40" s="2"/>
      <c r="P40" s="2"/>
      <c r="Q40" s="2" t="str">
        <f t="shared" si="2"/>
        <v>HIGH</v>
      </c>
      <c r="R40" s="2"/>
      <c r="S40" s="2"/>
      <c r="T40" s="2"/>
      <c r="U40" s="2"/>
    </row>
    <row r="41" spans="1:21" ht="30">
      <c r="A41" s="2" t="s">
        <v>50</v>
      </c>
      <c r="B41" s="2" t="s">
        <v>100</v>
      </c>
      <c r="C41" s="3">
        <v>46121</v>
      </c>
      <c r="D41" s="4">
        <v>0.28125</v>
      </c>
      <c r="E41" s="2" t="s">
        <v>133</v>
      </c>
      <c r="F41" s="2">
        <v>50</v>
      </c>
      <c r="G41" s="2">
        <v>20</v>
      </c>
      <c r="H41" s="2" t="s">
        <v>142</v>
      </c>
      <c r="I41" s="5">
        <v>0.1</v>
      </c>
      <c r="J41" s="2">
        <f t="shared" si="0"/>
        <v>2</v>
      </c>
      <c r="K41" s="2">
        <f t="shared" si="1"/>
        <v>18</v>
      </c>
      <c r="L41" s="2"/>
      <c r="M41" s="2" t="s">
        <v>163</v>
      </c>
      <c r="N41" s="13"/>
      <c r="O41" s="2"/>
      <c r="P41" s="2"/>
      <c r="Q41" s="2" t="str">
        <f t="shared" si="2"/>
        <v>HIGH</v>
      </c>
      <c r="R41" s="2"/>
      <c r="S41" s="2"/>
      <c r="T41" s="2"/>
      <c r="U41" s="2"/>
    </row>
    <row r="42" spans="1:21" ht="30">
      <c r="A42" s="2" t="s">
        <v>51</v>
      </c>
      <c r="B42" s="2" t="s">
        <v>101</v>
      </c>
      <c r="C42" s="3">
        <v>46122</v>
      </c>
      <c r="D42" s="4">
        <v>0.20833333333333334</v>
      </c>
      <c r="E42" s="2" t="s">
        <v>111</v>
      </c>
      <c r="F42" s="2">
        <v>18</v>
      </c>
      <c r="G42" s="2">
        <v>16</v>
      </c>
      <c r="H42" s="2" t="s">
        <v>141</v>
      </c>
      <c r="I42" s="5">
        <v>0.05</v>
      </c>
      <c r="J42" s="2">
        <f t="shared" si="0"/>
        <v>0.8</v>
      </c>
      <c r="K42" s="2">
        <f t="shared" si="1"/>
        <v>18</v>
      </c>
      <c r="L42" s="2"/>
      <c r="M42" s="2" t="s">
        <v>164</v>
      </c>
      <c r="N42" s="13"/>
      <c r="O42" s="2"/>
      <c r="P42" s="2"/>
      <c r="Q42" s="2" t="str">
        <f t="shared" si="2"/>
        <v>HIGH</v>
      </c>
      <c r="R42" s="2"/>
      <c r="S42" s="2"/>
      <c r="T42" s="2"/>
      <c r="U42" s="2"/>
    </row>
    <row r="43" spans="1:21">
      <c r="A43" s="2" t="s">
        <v>52</v>
      </c>
      <c r="B43" s="2" t="s">
        <v>102</v>
      </c>
      <c r="C43" s="3">
        <v>46123</v>
      </c>
      <c r="D43" s="4">
        <v>0.25</v>
      </c>
      <c r="E43" s="2" t="s">
        <v>125</v>
      </c>
      <c r="F43" s="2">
        <v>12</v>
      </c>
      <c r="G43" s="2">
        <v>20</v>
      </c>
      <c r="H43" s="2" t="s">
        <v>143</v>
      </c>
      <c r="I43" s="5">
        <v>7.0000000000000007E-2</v>
      </c>
      <c r="J43" s="2">
        <f t="shared" si="0"/>
        <v>1.4000000000000001</v>
      </c>
      <c r="K43" s="2">
        <f t="shared" si="1"/>
        <v>0</v>
      </c>
      <c r="L43" s="2"/>
      <c r="M43" s="2" t="s">
        <v>165</v>
      </c>
      <c r="N43" s="13"/>
      <c r="O43" s="2"/>
      <c r="P43" s="2"/>
      <c r="Q43" s="2" t="str">
        <f t="shared" si="2"/>
        <v>HIGH</v>
      </c>
      <c r="R43" s="2"/>
      <c r="S43" s="2"/>
      <c r="T43" s="2"/>
      <c r="U43" s="2"/>
    </row>
    <row r="44" spans="1:21" ht="30">
      <c r="A44" s="2" t="s">
        <v>53</v>
      </c>
      <c r="B44" s="2" t="s">
        <v>103</v>
      </c>
      <c r="C44" s="3">
        <v>46124</v>
      </c>
      <c r="D44" s="4">
        <v>0.29166666666666702</v>
      </c>
      <c r="E44" s="2" t="s">
        <v>134</v>
      </c>
      <c r="F44" s="2">
        <v>50</v>
      </c>
      <c r="G44" s="2">
        <v>32</v>
      </c>
      <c r="H44" s="2" t="s">
        <v>142</v>
      </c>
      <c r="I44" s="5">
        <v>0.1</v>
      </c>
      <c r="J44" s="2">
        <f t="shared" si="0"/>
        <v>3.2</v>
      </c>
      <c r="K44" s="2">
        <f t="shared" si="1"/>
        <v>0</v>
      </c>
      <c r="L44" s="2"/>
      <c r="M44" s="2" t="s">
        <v>167</v>
      </c>
      <c r="N44" s="13"/>
      <c r="O44" s="2"/>
      <c r="P44" s="2"/>
      <c r="Q44" s="2" t="str">
        <f t="shared" si="2"/>
        <v>HIGH</v>
      </c>
      <c r="R44" s="2"/>
      <c r="S44" s="2"/>
      <c r="T44" s="2"/>
      <c r="U44" s="2"/>
    </row>
    <row r="45" spans="1:21" ht="30">
      <c r="A45" s="2" t="s">
        <v>54</v>
      </c>
      <c r="B45" s="2" t="s">
        <v>104</v>
      </c>
      <c r="C45" s="3">
        <v>46125</v>
      </c>
      <c r="D45" s="4">
        <v>0.33333333333333298</v>
      </c>
      <c r="E45" s="2" t="s">
        <v>135</v>
      </c>
      <c r="F45" s="2">
        <v>50</v>
      </c>
      <c r="G45" s="2">
        <v>50</v>
      </c>
      <c r="H45" s="2" t="s">
        <v>142</v>
      </c>
      <c r="I45" s="5">
        <v>0.1</v>
      </c>
      <c r="J45" s="2">
        <f t="shared" si="0"/>
        <v>5</v>
      </c>
      <c r="K45" s="2">
        <f t="shared" si="1"/>
        <v>0</v>
      </c>
      <c r="L45" s="2"/>
      <c r="M45" s="2" t="s">
        <v>153</v>
      </c>
      <c r="N45" s="13"/>
      <c r="O45" s="2"/>
      <c r="P45" s="2"/>
      <c r="Q45" s="2" t="str">
        <f t="shared" si="2"/>
        <v>HIGH</v>
      </c>
      <c r="R45" s="2"/>
      <c r="S45" s="2"/>
      <c r="T45" s="2"/>
      <c r="U45" s="2"/>
    </row>
    <row r="46" spans="1:21" ht="30">
      <c r="A46" s="2" t="s">
        <v>55</v>
      </c>
      <c r="B46" s="2" t="s">
        <v>105</v>
      </c>
      <c r="C46" s="3">
        <v>46126</v>
      </c>
      <c r="D46" s="4">
        <v>0.375</v>
      </c>
      <c r="E46" s="2" t="s">
        <v>136</v>
      </c>
      <c r="F46" s="2">
        <v>25</v>
      </c>
      <c r="G46" s="2">
        <v>18</v>
      </c>
      <c r="H46" s="2" t="s">
        <v>146</v>
      </c>
      <c r="I46" s="5">
        <v>0</v>
      </c>
      <c r="J46" s="2">
        <f t="shared" si="0"/>
        <v>0</v>
      </c>
      <c r="K46" s="2">
        <f t="shared" si="1"/>
        <v>0</v>
      </c>
      <c r="L46" s="2"/>
      <c r="M46" s="2" t="s">
        <v>152</v>
      </c>
      <c r="N46" s="13"/>
      <c r="O46" s="2"/>
      <c r="P46" s="2"/>
      <c r="Q46" s="2" t="str">
        <f t="shared" si="2"/>
        <v>HIGH</v>
      </c>
      <c r="R46" s="2"/>
      <c r="S46" s="2"/>
      <c r="T46" s="2"/>
      <c r="U46" s="2"/>
    </row>
    <row r="47" spans="1:21" ht="45">
      <c r="A47" s="2" t="s">
        <v>56</v>
      </c>
      <c r="B47" s="2" t="s">
        <v>106</v>
      </c>
      <c r="C47" s="3">
        <v>46127</v>
      </c>
      <c r="D47" s="4">
        <v>0.3888888888888889</v>
      </c>
      <c r="E47" s="2" t="s">
        <v>137</v>
      </c>
      <c r="F47" s="2">
        <v>30</v>
      </c>
      <c r="G47" s="2">
        <v>32</v>
      </c>
      <c r="H47" s="2" t="s">
        <v>141</v>
      </c>
      <c r="I47" s="5">
        <v>0.01</v>
      </c>
      <c r="J47" s="2">
        <f t="shared" si="0"/>
        <v>0.32</v>
      </c>
      <c r="K47" s="2">
        <f t="shared" si="1"/>
        <v>0</v>
      </c>
      <c r="L47" s="2"/>
      <c r="M47" s="2" t="s">
        <v>151</v>
      </c>
      <c r="N47" s="13"/>
      <c r="O47" s="2"/>
      <c r="P47" s="2"/>
      <c r="Q47" s="2" t="str">
        <f t="shared" si="2"/>
        <v>HIGH</v>
      </c>
      <c r="R47" s="2"/>
      <c r="S47" s="2"/>
      <c r="T47" s="2"/>
      <c r="U47" s="2"/>
    </row>
    <row r="48" spans="1:21" ht="30">
      <c r="A48" s="2" t="s">
        <v>57</v>
      </c>
      <c r="B48" s="2" t="s">
        <v>107</v>
      </c>
      <c r="C48" s="3">
        <v>46128</v>
      </c>
      <c r="D48" s="4">
        <v>0.43055555555555602</v>
      </c>
      <c r="E48" s="2" t="s">
        <v>138</v>
      </c>
      <c r="F48" s="2">
        <v>35</v>
      </c>
      <c r="G48" s="2">
        <v>30</v>
      </c>
      <c r="H48" s="2" t="s">
        <v>147</v>
      </c>
      <c r="I48" s="5">
        <v>0.09</v>
      </c>
      <c r="J48" s="2">
        <f t="shared" si="0"/>
        <v>2.6999999999999997</v>
      </c>
      <c r="K48" s="2">
        <f t="shared" si="1"/>
        <v>0</v>
      </c>
      <c r="L48" s="2"/>
      <c r="M48" s="2" t="s">
        <v>150</v>
      </c>
      <c r="N48" s="13"/>
      <c r="O48" s="2"/>
      <c r="P48" s="2"/>
      <c r="Q48" s="2" t="str">
        <f t="shared" si="2"/>
        <v>HIGH</v>
      </c>
      <c r="R48" s="2"/>
      <c r="S48" s="2"/>
      <c r="T48" s="2"/>
      <c r="U48" s="2"/>
    </row>
    <row r="49" spans="1:21" ht="30">
      <c r="A49" s="2" t="s">
        <v>58</v>
      </c>
      <c r="B49" s="2" t="s">
        <v>108</v>
      </c>
      <c r="C49" s="3">
        <v>46129</v>
      </c>
      <c r="D49" s="4">
        <v>0.47222222222222199</v>
      </c>
      <c r="E49" s="2" t="s">
        <v>139</v>
      </c>
      <c r="F49" s="2">
        <v>35</v>
      </c>
      <c r="G49" s="2">
        <v>16</v>
      </c>
      <c r="H49" s="2" t="s">
        <v>148</v>
      </c>
      <c r="I49" s="5">
        <v>0.09</v>
      </c>
      <c r="J49" s="2">
        <f t="shared" si="0"/>
        <v>1.44</v>
      </c>
      <c r="K49" s="2">
        <f t="shared" si="1"/>
        <v>0</v>
      </c>
      <c r="L49" s="2"/>
      <c r="M49" s="2" t="s">
        <v>149</v>
      </c>
      <c r="N49" s="13"/>
      <c r="O49" s="2"/>
      <c r="P49" s="2"/>
      <c r="Q49" s="2" t="str">
        <f t="shared" si="2"/>
        <v>HIGH</v>
      </c>
      <c r="R49" s="2"/>
      <c r="S49" s="2"/>
      <c r="T49" s="2"/>
      <c r="U49" s="2"/>
    </row>
    <row r="50" spans="1:21" ht="30">
      <c r="A50" s="2" t="s">
        <v>59</v>
      </c>
      <c r="B50" s="2" t="s">
        <v>109</v>
      </c>
      <c r="C50" s="3">
        <v>46130</v>
      </c>
      <c r="D50" s="4">
        <v>0.51388888888888895</v>
      </c>
      <c r="E50" s="2" t="s">
        <v>140</v>
      </c>
      <c r="F50" s="2">
        <v>20</v>
      </c>
      <c r="G50" s="2">
        <v>16</v>
      </c>
      <c r="H50" s="2" t="s">
        <v>142</v>
      </c>
      <c r="I50" s="5">
        <v>0.02</v>
      </c>
      <c r="J50" s="2">
        <f t="shared" si="0"/>
        <v>0.32</v>
      </c>
      <c r="K50" s="2">
        <f t="shared" si="1"/>
        <v>0</v>
      </c>
      <c r="L50" s="2"/>
      <c r="M50" s="2" t="s">
        <v>150</v>
      </c>
      <c r="N50" s="13"/>
      <c r="O50" s="2"/>
      <c r="P50" s="2"/>
      <c r="Q50" s="2" t="str">
        <f t="shared" si="2"/>
        <v>HIGH</v>
      </c>
      <c r="R50" s="2"/>
      <c r="S50" s="2"/>
      <c r="T50" s="2"/>
      <c r="U50" s="2"/>
    </row>
    <row r="51" spans="1:21" ht="30">
      <c r="A51" s="2" t="s">
        <v>60</v>
      </c>
      <c r="B51" s="2" t="s">
        <v>107</v>
      </c>
      <c r="C51" s="3">
        <v>46131</v>
      </c>
      <c r="D51" s="4">
        <v>0.55555555555555602</v>
      </c>
      <c r="E51" s="2" t="s">
        <v>140</v>
      </c>
      <c r="F51" s="2">
        <v>20</v>
      </c>
      <c r="G51" s="2">
        <v>16</v>
      </c>
      <c r="H51" s="2" t="s">
        <v>142</v>
      </c>
      <c r="I51" s="5">
        <v>0.02</v>
      </c>
      <c r="J51" s="2">
        <f t="shared" si="0"/>
        <v>0.32</v>
      </c>
      <c r="K51" s="2">
        <f t="shared" si="1"/>
        <v>0</v>
      </c>
      <c r="L51" s="2"/>
      <c r="M51" s="2" t="s">
        <v>150</v>
      </c>
      <c r="N51" s="13"/>
      <c r="O51" s="2"/>
      <c r="P51" s="2"/>
      <c r="Q51" s="2" t="str">
        <f t="shared" si="2"/>
        <v>HIGH</v>
      </c>
      <c r="R51" s="2"/>
      <c r="S51" s="2"/>
      <c r="T51" s="2"/>
      <c r="U51" s="2"/>
    </row>
    <row r="52" spans="1:21">
      <c r="O52" s="14"/>
    </row>
  </sheetData>
  <autoFilter ref="A1:M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Table</vt:lpstr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2026-03-20T13:52:22Z</dcterms:created>
  <dcterms:modified xsi:type="dcterms:W3CDTF">2026-03-26T07:08:04Z</dcterms:modified>
</cp:coreProperties>
</file>